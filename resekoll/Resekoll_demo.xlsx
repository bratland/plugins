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öreläsningar" sheetId="1" state="visible" r:id="rId3"/>
    <sheet name="Inställningar" sheetId="2" state="visible" r:id="rId4"/>
    <sheet name="Leverantörer" sheetId="3" state="visible" r:id="rId5"/>
    <sheet name="Länkmallar" sheetId="4" state="visible" r:id="rId6"/>
    <sheet name="Demo-inkorg" sheetId="5" state="visible" r:id="rId7"/>
    <sheet name="Reseförslag" sheetId="6" state="visible" r:id="rId8"/>
    <sheet name="Facit" sheetId="7" state="visible" r:id="rId9"/>
  </sheets>
  <definedNames>
    <definedName function="false" hidden="true" localSheetId="0" name="_xlnm._FilterDatabase" vbProcedure="false">Föreläsningar!$A$4:$U$20</definedName>
    <definedName function="false" hidden="true" localSheetId="2" name="_xlnm._FilterDatabase" vbProcedure="false">Leverantörer!$A$4:$D$36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<sst xmlns="http://schemas.openxmlformats.org/spreadsheetml/2006/main" count="748" uniqueCount="475">
  <si>
    <t xml:space="preserve">Föreläsningsschema — DEMODATA (fiktivt, för test av resekollen)</t>
  </si>
  <si>
    <t xml:space="preserve">DEMODATA för en fiktiv föreläsare med Göteborg som hemort — inte någon verklig persons schema.  Blå text = du fyller i.  Grå kolumner N–U skrivs av jobbet.  »Boende krävs« = auto låter reglerna i Inställningar avgöra, eller tvinga Ja/Nej.</t>
  </si>
  <si>
    <t xml:space="preserve">ID</t>
  </si>
  <si>
    <t xml:space="preserve">Datum</t>
  </si>
  <si>
    <t xml:space="preserve">Start</t>
  </si>
  <si>
    <t xml:space="preserve">Slut</t>
  </si>
  <si>
    <t xml:space="preserve">Ort</t>
  </si>
  <si>
    <t xml:space="preserve">Land</t>
  </si>
  <si>
    <t xml:space="preserve">Lokal</t>
  </si>
  <si>
    <t xml:space="preserve">Lokaladress</t>
  </si>
  <si>
    <t xml:space="preserve">Kund</t>
  </si>
  <si>
    <t xml:space="preserve">Typ</t>
  </si>
  <si>
    <t xml:space="preserve">Vem bokar resan</t>
  </si>
  <si>
    <t xml:space="preserve">Boende krävs</t>
  </si>
  <si>
    <t xml:space="preserve">Dagar till</t>
  </si>
  <si>
    <t xml:space="preserve">Status boende</t>
  </si>
  <si>
    <t xml:space="preserve">Status resa dit</t>
  </si>
  <si>
    <t xml:space="preserve">Status resa hem</t>
  </si>
  <si>
    <t xml:space="preserve">Status lokalt</t>
  </si>
  <si>
    <t xml:space="preserve">Förslag boende</t>
  </si>
  <si>
    <t xml:space="preserve">Förslag resa</t>
  </si>
  <si>
    <t xml:space="preserve">Senast kontrollerad</t>
  </si>
  <si>
    <t xml:space="preserve">Noteringar från kollen</t>
  </si>
  <si>
    <t xml:space="preserve">09:00</t>
  </si>
  <si>
    <t xml:space="preserve">12:00</t>
  </si>
  <si>
    <t xml:space="preserve">Göteborg</t>
  </si>
  <si>
    <t xml:space="preserve">Sverige</t>
  </si>
  <si>
    <t xml:space="preserve">Elite Park Avenue</t>
  </si>
  <si>
    <t xml:space="preserve">Kungsportsavenyn 36, Göteborg</t>
  </si>
  <si>
    <t xml:space="preserve">Volvo Group</t>
  </si>
  <si>
    <t xml:space="preserve">Föreläsning</t>
  </si>
  <si>
    <t xml:space="preserve">Jag</t>
  </si>
  <si>
    <t xml:space="preserve">auto</t>
  </si>
  <si>
    <t xml:space="preserve">13:00</t>
  </si>
  <si>
    <t xml:space="preserve">16:00</t>
  </si>
  <si>
    <t xml:space="preserve">Borås</t>
  </si>
  <si>
    <t xml:space="preserve">Högskolan i Borås</t>
  </si>
  <si>
    <t xml:space="preserve">Allégatan 1, Borås</t>
  </si>
  <si>
    <t xml:space="preserve">Workshop</t>
  </si>
  <si>
    <t xml:space="preserve">08:30</t>
  </si>
  <si>
    <t xml:space="preserve">10:00</t>
  </si>
  <si>
    <t xml:space="preserve">Malmö</t>
  </si>
  <si>
    <t xml:space="preserve">Malmö Live</t>
  </si>
  <si>
    <t xml:space="preserve">Dag Hammarskjölds torg 4, Malmö</t>
  </si>
  <si>
    <t xml:space="preserve">SKR</t>
  </si>
  <si>
    <t xml:space="preserve">Stockholm</t>
  </si>
  <si>
    <t xml:space="preserve">Waterfront Congress</t>
  </si>
  <si>
    <t xml:space="preserve">Nils Ericsons plan 4, Stockholm</t>
  </si>
  <si>
    <t xml:space="preserve">Handelsbanken</t>
  </si>
  <si>
    <t xml:space="preserve">14:00</t>
  </si>
  <si>
    <t xml:space="preserve">17:00</t>
  </si>
  <si>
    <t xml:space="preserve">Epicenter</t>
  </si>
  <si>
    <t xml:space="preserve">Mäster Samuelsgatan 36, Stockholm</t>
  </si>
  <si>
    <t xml:space="preserve">Klarna</t>
  </si>
  <si>
    <t xml:space="preserve">11:00</t>
  </si>
  <si>
    <t xml:space="preserve">Luleå</t>
  </si>
  <si>
    <t xml:space="preserve">Clarion Hotel Sense</t>
  </si>
  <si>
    <t xml:space="preserve">Skeppsbrogatan 34, Luleå</t>
  </si>
  <si>
    <t xml:space="preserve">LKAB</t>
  </si>
  <si>
    <t xml:space="preserve">18:00</t>
  </si>
  <si>
    <t xml:space="preserve">20:00</t>
  </si>
  <si>
    <t xml:space="preserve">Kungsbacka</t>
  </si>
  <si>
    <t xml:space="preserve">Elof Lindälvs gymnasium</t>
  </si>
  <si>
    <t xml:space="preserve">Lindälvsgatan 2, Kungsbacka</t>
  </si>
  <si>
    <t xml:space="preserve">Kungsbacka kommun</t>
  </si>
  <si>
    <t xml:space="preserve">Oslo</t>
  </si>
  <si>
    <t xml:space="preserve">Norge</t>
  </si>
  <si>
    <t xml:space="preserve">Oslo Kongressenter</t>
  </si>
  <si>
    <t xml:space="preserve">Youngs gate 21, Oslo</t>
  </si>
  <si>
    <t xml:space="preserve">Telenor</t>
  </si>
  <si>
    <t xml:space="preserve">09:30</t>
  </si>
  <si>
    <t xml:space="preserve">Jönköping</t>
  </si>
  <si>
    <t xml:space="preserve">Elmia</t>
  </si>
  <si>
    <t xml:space="preserve">Elmiavägen 15, Jönköping</t>
  </si>
  <si>
    <t xml:space="preserve">Husqvarna Group</t>
  </si>
  <si>
    <t xml:space="preserve">Umeå</t>
  </si>
  <si>
    <t xml:space="preserve">Folkets Hus</t>
  </si>
  <si>
    <t xml:space="preserve">Vasaplan 1, Umeå</t>
  </si>
  <si>
    <t xml:space="preserve">Umeå universitet</t>
  </si>
  <si>
    <t xml:space="preserve">Arrangören</t>
  </si>
  <si>
    <t xml:space="preserve">08:00</t>
  </si>
  <si>
    <t xml:space="preserve">Köpenhamn</t>
  </si>
  <si>
    <t xml:space="preserve">Danmark</t>
  </si>
  <si>
    <t xml:space="preserve">Bella Center</t>
  </si>
  <si>
    <t xml:space="preserve">Center Blvd 5, København</t>
  </si>
  <si>
    <t xml:space="preserve">Novo Nordisk</t>
  </si>
  <si>
    <t xml:space="preserve">15:00</t>
  </si>
  <si>
    <t xml:space="preserve">Linköping</t>
  </si>
  <si>
    <t xml:space="preserve">Konsert &amp; Kongress</t>
  </si>
  <si>
    <t xml:space="preserve">Konsistoriegatan 7, Linköping</t>
  </si>
  <si>
    <t xml:space="preserve">Sectra</t>
  </si>
  <si>
    <t xml:space="preserve">Nalen</t>
  </si>
  <si>
    <t xml:space="preserve">Regeringsgatan 74, Stockholm</t>
  </si>
  <si>
    <t xml:space="preserve">Sveriges Kommunikatörer</t>
  </si>
  <si>
    <t xml:space="preserve">Moderator</t>
  </si>
  <si>
    <t xml:space="preserve">Helsingfors</t>
  </si>
  <si>
    <t xml:space="preserve">Finland</t>
  </si>
  <si>
    <t xml:space="preserve">Finlandia-huset</t>
  </si>
  <si>
    <t xml:space="preserve">Mannerheimvägen 13, Helsingfors</t>
  </si>
  <si>
    <t xml:space="preserve">Nordea</t>
  </si>
  <si>
    <t xml:space="preserve">19:00</t>
  </si>
  <si>
    <t xml:space="preserve">20:30</t>
  </si>
  <si>
    <t xml:space="preserve">Svenska Mässan</t>
  </si>
  <si>
    <t xml:space="preserve">Mässans gata 24, Göteborg</t>
  </si>
  <si>
    <t xml:space="preserve">Länsförsäkringar</t>
  </si>
  <si>
    <t xml:space="preserve">Inställningar — fylls i en gång per person</t>
  </si>
  <si>
    <t xml:space="preserve">Gula celler är de enda du rör. Jobbet läser bladet vid varje körning. Allt personspecifikt bor här, så nästa föreläsare fyller i sitt eget blad och är igång.</t>
  </si>
  <si>
    <t xml:space="preserve">Hemma</t>
  </si>
  <si>
    <t xml:space="preserve">Hemort</t>
  </si>
  <si>
    <t xml:space="preserve">DEMOVÄRDE för en påhittad föreläsare — resten av demodatat utgår från Göteborg. Uppsättningen frågar alltid efter riktig hemort och gissar den aldrig.</t>
  </si>
  <si>
    <t xml:space="preserve">Hemstation</t>
  </si>
  <si>
    <t xml:space="preserve">Göteborg C</t>
  </si>
  <si>
    <t xml:space="preserve">Avresepunkt som ska kännas igen i biljetter.</t>
  </si>
  <si>
    <t xml:space="preserve">Hemflygplats</t>
  </si>
  <si>
    <t xml:space="preserve">GOT</t>
  </si>
  <si>
    <t xml:space="preserve">IATA-kod. Används i flygsöklänkar.</t>
  </si>
  <si>
    <t xml:space="preserve">Regler för när boende behövs</t>
  </si>
  <si>
    <t xml:space="preserve">Dagsresa upp till (km)</t>
  </si>
  <si>
    <t xml:space="preserve">Kortare än så: inget boende, oavsett tid.</t>
  </si>
  <si>
    <t xml:space="preserve">Tidig start kräver natt innan (före kl)</t>
  </si>
  <si>
    <t xml:space="preserve">Start tidigare än detta längre bort = boende natten innan.</t>
  </si>
  <si>
    <t xml:space="preserve">Sen sluttid kräver natt efter (efter kl)</t>
  </si>
  <si>
    <t xml:space="preserve">Slutar senare än detta längre bort = boende samma kväll.</t>
  </si>
  <si>
    <t xml:space="preserve">Utlandsresa kräver alltid boende</t>
  </si>
  <si>
    <t xml:space="preserve">Ja</t>
  </si>
  <si>
    <t xml:space="preserve">Ja/Nej. Enklare regel än km för resor utanför Sverige.</t>
  </si>
  <si>
    <t xml:space="preserve">Så byggs reseförslagen</t>
  </si>
  <si>
    <t xml:space="preserve">Framme senast (min före start)</t>
  </si>
  <si>
    <t xml:space="preserve">Marginal före föreläsningen. Styr sista möjliga ankomst.</t>
  </si>
  <si>
    <t xml:space="preserve">Hemresa tidigast (min efter slut)</t>
  </si>
  <si>
    <t xml:space="preserve">Marginal efter. Styr första möjliga avgång hem.</t>
  </si>
  <si>
    <t xml:space="preserve">Max gångavstånd till lokalen (m)</t>
  </si>
  <si>
    <t xml:space="preserve">Boende söks inom denna radie från Lokaladress.</t>
  </si>
  <si>
    <t xml:space="preserve">Hotellkedjor i prioordning</t>
  </si>
  <si>
    <t xml:space="preserve">Scandic, Strawberry, Elite</t>
  </si>
  <si>
    <t xml:space="preserve">Styr vilken hotellänk som byggs först.</t>
  </si>
  <si>
    <t xml:space="preserve">Bonusprogram</t>
  </si>
  <si>
    <t xml:space="preserve">Scandic Friends</t>
  </si>
  <si>
    <t xml:space="preserve">Noteras i förslaget så poängen hamnar rätt.</t>
  </si>
  <si>
    <t xml:space="preserve">Tåg framför flyg upp till (km)</t>
  </si>
  <si>
    <t xml:space="preserve">Under denna sträcka föreslås tåg även när flyg går fortare.</t>
  </si>
  <si>
    <t xml:space="preserve">Marginal vid tågbyte (min)</t>
  </si>
  <si>
    <t xml:space="preserve">Undviker förslag med omöjligt tighta byten.</t>
  </si>
  <si>
    <t xml:space="preserve">Bevakning</t>
  </si>
  <si>
    <t xml:space="preserve">Kolla framåt (dagar)</t>
  </si>
  <si>
    <t xml:space="preserve">Hur långt fram i schemat jobbet tittar.</t>
  </si>
  <si>
    <t xml:space="preserve">Kritisk gräns (dagar)</t>
  </si>
  <si>
    <t xml:space="preserve">Luckor närmare än så markeras som brådskande.</t>
  </si>
  <si>
    <t xml:space="preserve">Sök bakåt i mailen (dagar)</t>
  </si>
  <si>
    <t xml:space="preserve">Hur långt bak bokningsbekräftelser kan ligga.</t>
  </si>
  <si>
    <t xml:space="preserve">Leverans</t>
  </si>
  <si>
    <t xml:space="preserve">Notifieringsmail</t>
  </si>
  <si>
    <t xml:space="preserve">demo@exempel.se</t>
  </si>
  <si>
    <t xml:space="preserve">Dit sammanfattningen skickas.</t>
  </si>
  <si>
    <t xml:space="preserve">Skicka även när allt är bokat</t>
  </si>
  <si>
    <t xml:space="preserve">Nej</t>
  </si>
  <si>
    <t xml:space="preserve">Ja/Nej. Nej = tyst när inget saknas.</t>
  </si>
  <si>
    <t xml:space="preserve">Skriv tillbaka status i Excel</t>
  </si>
  <si>
    <t xml:space="preserve">Ja/Nej. Fyller kolumn N–U i Föreläsningar.</t>
  </si>
  <si>
    <t xml:space="preserve">Körschema</t>
  </si>
  <si>
    <t xml:space="preserve">Måndagar 07:00</t>
  </si>
  <si>
    <t xml:space="preserve">Sätts upp av /resekoll-setup, noteras här för din skull.</t>
  </si>
  <si>
    <t xml:space="preserve">Kontrollsiffror (räknas automatiskt)</t>
  </si>
  <si>
    <t xml:space="preserve">Antal gig i schemat</t>
  </si>
  <si>
    <t xml:space="preserve">Varav inom bevakningsfönstret</t>
  </si>
  <si>
    <t xml:space="preserve">Varav arrangören bokar resan</t>
  </si>
  <si>
    <t xml:space="preserve">Öppna luckor enligt Facit</t>
  </si>
  <si>
    <t xml:space="preserve">Avsändare som räknas som bokningsbekräftelser</t>
  </si>
  <si>
    <t xml:space="preserve">Grovsållning före AI-tolkning: bara mail från dessa domäner analyseras på djupet. Lägg till din resebyrå här.</t>
  </si>
  <si>
    <t xml:space="preserve">Kategori</t>
  </si>
  <si>
    <t xml:space="preserve">Domän</t>
  </si>
  <si>
    <t xml:space="preserve">Leverantör</t>
  </si>
  <si>
    <t xml:space="preserve">Aktiv</t>
  </si>
  <si>
    <t xml:space="preserve">Hotell</t>
  </si>
  <si>
    <t xml:space="preserve">scandichotels.com</t>
  </si>
  <si>
    <t xml:space="preserve">Scandic</t>
  </si>
  <si>
    <t xml:space="preserve">strawberryhotels.com</t>
  </si>
  <si>
    <t xml:space="preserve">Strawberry / Nordic Choice</t>
  </si>
  <si>
    <t xml:space="preserve">elite.se</t>
  </si>
  <si>
    <t xml:space="preserve">Elite Hotels</t>
  </si>
  <si>
    <t xml:space="preserve">booking.com</t>
  </si>
  <si>
    <t xml:space="preserve">Booking.com</t>
  </si>
  <si>
    <t xml:space="preserve">hotels.com</t>
  </si>
  <si>
    <t xml:space="preserve">Hotels.com</t>
  </si>
  <si>
    <t xml:space="preserve">thonhotels.no</t>
  </si>
  <si>
    <t xml:space="preserve">Thon Hotels</t>
  </si>
  <si>
    <t xml:space="preserve">radissonhotels.com</t>
  </si>
  <si>
    <t xml:space="preserve">Radisson</t>
  </si>
  <si>
    <t xml:space="preserve">hotelatsix.com</t>
  </si>
  <si>
    <t xml:space="preserve">Hotel At Six</t>
  </si>
  <si>
    <t xml:space="preserve">clarionhotel.com</t>
  </si>
  <si>
    <t xml:space="preserve">Clarion</t>
  </si>
  <si>
    <t xml:space="preserve">Tåg</t>
  </si>
  <si>
    <t xml:space="preserve">sj.se</t>
  </si>
  <si>
    <t xml:space="preserve">SJ</t>
  </si>
  <si>
    <t xml:space="preserve">vy.se</t>
  </si>
  <si>
    <t xml:space="preserve">Vy</t>
  </si>
  <si>
    <t xml:space="preserve">snalltaget.se</t>
  </si>
  <si>
    <t xml:space="preserve">Snälltåget</t>
  </si>
  <si>
    <t xml:space="preserve">oresundstag.se</t>
  </si>
  <si>
    <t xml:space="preserve">Öresundståg</t>
  </si>
  <si>
    <t xml:space="preserve">dsb.dk</t>
  </si>
  <si>
    <t xml:space="preserve">DSB</t>
  </si>
  <si>
    <t xml:space="preserve">vr.fi</t>
  </si>
  <si>
    <t xml:space="preserve">VR</t>
  </si>
  <si>
    <t xml:space="preserve">Flyg</t>
  </si>
  <si>
    <t xml:space="preserve">flysas.com</t>
  </si>
  <si>
    <t xml:space="preserve">SAS</t>
  </si>
  <si>
    <t xml:space="preserve">norwegian.com</t>
  </si>
  <si>
    <t xml:space="preserve">Norwegian</t>
  </si>
  <si>
    <t xml:space="preserve">finnair.com</t>
  </si>
  <si>
    <t xml:space="preserve">Finnair</t>
  </si>
  <si>
    <t xml:space="preserve">klm.com</t>
  </si>
  <si>
    <t xml:space="preserve">KLM</t>
  </si>
  <si>
    <t xml:space="preserve">lufthansa.com</t>
  </si>
  <si>
    <t xml:space="preserve">Lufthansa</t>
  </si>
  <si>
    <t xml:space="preserve">Taxi</t>
  </si>
  <si>
    <t xml:space="preserve">taxikurir.se</t>
  </si>
  <si>
    <t xml:space="preserve">Taxi Kurir</t>
  </si>
  <si>
    <t xml:space="preserve">taxi020.se</t>
  </si>
  <si>
    <t xml:space="preserve">Taxi 020</t>
  </si>
  <si>
    <t xml:space="preserve">cabonline.com</t>
  </si>
  <si>
    <t xml:space="preserve">Cabonline</t>
  </si>
  <si>
    <t xml:space="preserve">uber.com</t>
  </si>
  <si>
    <t xml:space="preserve">Uber</t>
  </si>
  <si>
    <t xml:space="preserve">bolt.eu</t>
  </si>
  <si>
    <t xml:space="preserve">Bolt</t>
  </si>
  <si>
    <t xml:space="preserve">Resebyrå</t>
  </si>
  <si>
    <t xml:space="preserve">egencia.com</t>
  </si>
  <si>
    <t xml:space="preserve">Egencia</t>
  </si>
  <si>
    <t xml:space="preserve">bigtravel.se</t>
  </si>
  <si>
    <t xml:space="preserve">BigTravel</t>
  </si>
  <si>
    <t xml:space="preserve">ticket.se</t>
  </si>
  <si>
    <t xml:space="preserve">Ticket</t>
  </si>
  <si>
    <t xml:space="preserve">amexglobalbusinesstravel.com</t>
  </si>
  <si>
    <t xml:space="preserve">Amex GBT</t>
  </si>
  <si>
    <t xml:space="preserve">Hyrbil</t>
  </si>
  <si>
    <t xml:space="preserve">hertz.se</t>
  </si>
  <si>
    <t xml:space="preserve">Hertz</t>
  </si>
  <si>
    <t xml:space="preserve">sixt.se</t>
  </si>
  <si>
    <t xml:space="preserve">Sixt</t>
  </si>
  <si>
    <t xml:space="preserve">Färja</t>
  </si>
  <si>
    <t xml:space="preserve">stenaline.se</t>
  </si>
  <si>
    <t xml:space="preserve">Stena Line</t>
  </si>
  <si>
    <t xml:space="preserve">Söklänkar — mönstret ligger i data, aldrig i koden</t>
  </si>
  <si>
    <t xml:space="preserve">Jobbet fyller i {platshållarna} och lägger länken i förslaget. Ändrar en leverantör sin URL redigerar du raden här i stället för att bygga om något. STATUS-kolumnen är ärlig: inget är testat mot live-sajt ännu.</t>
  </si>
  <si>
    <t xml:space="preserve">URL-mall</t>
  </si>
  <si>
    <t xml:space="preserve">Status</t>
  </si>
  <si>
    <t xml:space="preserve">Kommentar</t>
  </si>
  <si>
    <t xml:space="preserve">https://www.sj.se/kop-resa?from={från}&amp;to={till}&amp;date={datum}</t>
  </si>
  <si>
    <t xml:space="preserve">Otestad — verifiera</t>
  </si>
  <si>
    <t xml:space="preserve">Param-namnen kan skilja. Testa en gång vid uppsättning.</t>
  </si>
  <si>
    <t xml:space="preserve">Resrobot</t>
  </si>
  <si>
    <t xml:space="preserve">https://resrobot.se/?from={från}&amp;to={till}&amp;date={datum}</t>
  </si>
  <si>
    <t xml:space="preserve">Alternativ när SJ-mallen krånglar. Täcker även buss.</t>
  </si>
  <si>
    <t xml:space="preserve">Trafiklab API</t>
  </si>
  <si>
    <t xml:space="preserve">https://api.resrobot.se/v2.1/trip?originId={id}&amp;destId={id}&amp;date={datum}</t>
  </si>
  <si>
    <t xml:space="preserve">Kräver gratis API-nyckel</t>
  </si>
  <si>
    <t xml:space="preserve">Väg hit senare om ni vill ha verkliga avgångstider.</t>
  </si>
  <si>
    <t xml:space="preserve">Google Flights</t>
  </si>
  <si>
    <t xml:space="preserve">https://www.google.com/travel/flights?q=Flights%20from%20{från_iata}%20to%20{till_iata}%20on%20{datum}</t>
  </si>
  <si>
    <t xml:space="preserve">Stabilaste mönstret. Täcker alla bolag i en länk.</t>
  </si>
  <si>
    <t xml:space="preserve">https://www.booking.com/searchresults.html?ss={adress}&amp;checkin={in}&amp;checkout={ut}</t>
  </si>
  <si>
    <t xml:space="preserve">Adress i stället för ort ger träffar sorterade efter gångavstånd.</t>
  </si>
  <si>
    <t xml:space="preserve">https://www.scandichotels.se/hotell/{land}/{ort}</t>
  </si>
  <si>
    <t xml:space="preserve">Först i kön eftersom bonusprogrammet ligger här.</t>
  </si>
  <si>
    <t xml:space="preserve">Google Maps</t>
  </si>
  <si>
    <t xml:space="preserve">https://www.google.com/maps/search/hotell/@{lat},{lng},15z</t>
  </si>
  <si>
    <t xml:space="preserve">Reservväg som alltid visar gångavstånd till lokalen.</t>
  </si>
  <si>
    <t xml:space="preserve">Bokning</t>
  </si>
  <si>
    <t xml:space="preserve">—</t>
  </si>
  <si>
    <t xml:space="preserve">Utanför v1</t>
  </si>
  <si>
    <t xml:space="preserve">Taxi bokas oftast på plats. Kollen letar kvitto i efterhand i stället.</t>
  </si>
  <si>
    <t xml:space="preserve">Simulerad inkorg — låter oss testa matchningen utan tillgång till någons riktiga Outlook</t>
  </si>
  <si>
    <t xml:space="preserve">Kolumn G–H är facit och matas aldrig in i jobbet. De finns för att mäta hur väl matchningen träffar.</t>
  </si>
  <si>
    <t xml:space="preserve">Mail-ID</t>
  </si>
  <si>
    <t xml:space="preserve">Mottaget</t>
  </si>
  <si>
    <t xml:space="preserve">Från</t>
  </si>
  <si>
    <t xml:space="preserve">Avsändarnamn</t>
  </si>
  <si>
    <t xml:space="preserve">Ämne</t>
  </si>
  <si>
    <t xml:space="preserve">Utdrag ur mailet</t>
  </si>
  <si>
    <t xml:space="preserve">FACIT: kategori</t>
  </si>
  <si>
    <t xml:space="preserve">FACIT: avser gig</t>
  </si>
  <si>
    <t xml:space="preserve">M01</t>
  </si>
  <si>
    <t xml:space="preserve">noreply@sj.se</t>
  </si>
  <si>
    <t xml:space="preserve">Din biljett Göteborg C–Borås C 30 sep</t>
  </si>
  <si>
    <t xml:space="preserve">Avgång 30 sep 11:02 Göteborg C, ankomst 12:04 Borås C. Retur samma dag 16:45. Bokningsnr SJ-4471203.</t>
  </si>
  <si>
    <t xml:space="preserve">Tåg, bekräftad</t>
  </si>
  <si>
    <t xml:space="preserve">2</t>
  </si>
  <si>
    <t xml:space="preserve">M02</t>
  </si>
  <si>
    <t xml:space="preserve">Din biljett Göteborg C–Malmö C 1 okt</t>
  </si>
  <si>
    <t xml:space="preserve">Avgång 1 okt 17:20 Göteborg C, ankomst 20:31 Malmö C. Retur 2 okt 11:50. Bokningsnr SJ-4488119.</t>
  </si>
  <si>
    <t xml:space="preserve">3</t>
  </si>
  <si>
    <t xml:space="preserve">M03</t>
  </si>
  <si>
    <t xml:space="preserve">Din bokning SJ-4488119 är avbokad</t>
  </si>
  <si>
    <t xml:space="preserve">Bokning SJ-4488119 Göteborg–Malmö 1 okt är avbokad på din begäran. Återbetalning behandlas.</t>
  </si>
  <si>
    <t xml:space="preserve">Tåg, AVBOKAD</t>
  </si>
  <si>
    <t xml:space="preserve">M04</t>
  </si>
  <si>
    <t xml:space="preserve">Din biljett Göteborg C–Stockholm C 8 okt</t>
  </si>
  <si>
    <t xml:space="preserve">Avgång 8 okt 06:20 Göteborg C, ankomst 09:31 Stockholm C. Retur 9 okt 18:14. Bokningsnr SJ-4502877.</t>
  </si>
  <si>
    <t xml:space="preserve">4, 5</t>
  </si>
  <si>
    <t xml:space="preserve">M05</t>
  </si>
  <si>
    <t xml:space="preserve">no-reply@scandichotels.com</t>
  </si>
  <si>
    <t xml:space="preserve">Scandic Hotels</t>
  </si>
  <si>
    <t xml:space="preserve">Bokningsbekräftelse Scandic Continental</t>
  </si>
  <si>
    <t xml:space="preserve">Incheckning 8 oktober 2026, utcheckning 9 oktober 2026. Scandic Continental, Vasagatan 22, Stockholm. 1 rum.</t>
  </si>
  <si>
    <t xml:space="preserve">Hotell, bekräftad</t>
  </si>
  <si>
    <t xml:space="preserve">M06</t>
  </si>
  <si>
    <t xml:space="preserve">booking@flysas.com</t>
  </si>
  <si>
    <t xml:space="preserve">Din resa GOT–LLA 14 okt</t>
  </si>
  <si>
    <t xml:space="preserve">Utresa 14 okt SK021 GOT 15:55 – LLA 18:40. Hemresa 15 okt SK028 LLA 13:15 – GOT 16:05. Referens QK7PLM.</t>
  </si>
  <si>
    <t xml:space="preserve">Flyg, bekräftad</t>
  </si>
  <si>
    <t xml:space="preserve">6</t>
  </si>
  <si>
    <t xml:space="preserve">M07</t>
  </si>
  <si>
    <t xml:space="preserve">bookings@thonhotels.no</t>
  </si>
  <si>
    <t xml:space="preserve">Reservation confirmed – Thon Hotel Opera</t>
  </si>
  <si>
    <t xml:space="preserve">Check-in 28 November 2026, check-out 29 November 2026. Thon Hotel Opera, Oslo. Reference THN-889213.</t>
  </si>
  <si>
    <t xml:space="preserve">Hotell, FEL DATUM</t>
  </si>
  <si>
    <t xml:space="preserve">8</t>
  </si>
  <si>
    <t xml:space="preserve">M08</t>
  </si>
  <si>
    <t xml:space="preserve">Din biljett Göteborg C–Jönköping 4 nov</t>
  </si>
  <si>
    <t xml:space="preserve">Avgång 4 nov 06:55 Göteborg C, ankomst 08:35 Jönköping. Retur 4 nov 13:20. Bokningsnr SJ-4561002.</t>
  </si>
  <si>
    <t xml:space="preserve">9</t>
  </si>
  <si>
    <t xml:space="preserve">M09</t>
  </si>
  <si>
    <t xml:space="preserve">Bokningsbekräftelse Scandic Jönköping</t>
  </si>
  <si>
    <t xml:space="preserve">Incheckning 4 november 2026, utcheckning 5 november 2026. Scandic Jönköping. 1 rum.</t>
  </si>
  <si>
    <t xml:space="preserve">Hotell, ÖVERFLÖDIG</t>
  </si>
  <si>
    <t xml:space="preserve">M10</t>
  </si>
  <si>
    <t xml:space="preserve">resor@umu.se</t>
  </si>
  <si>
    <t xml:space="preserve">Reseinformation inför 11–12 november</t>
  </si>
  <si>
    <t xml:space="preserve">Vi har bokat Stora Hotellet Umeå 10–12 nov samt flyg GOT–UME t/r åt dig. Bekräftelser bifogas.</t>
  </si>
  <si>
    <t xml:space="preserve">Arrangören bokar</t>
  </si>
  <si>
    <t xml:space="preserve">10, 11</t>
  </si>
  <si>
    <t xml:space="preserve">M11</t>
  </si>
  <si>
    <t xml:space="preserve">Din biljett Göteborg C–Linköping C 25 nov</t>
  </si>
  <si>
    <t xml:space="preserve">Avgång 25 nov 10:32 Göteborg C, ankomst 13:48 Linköping C. Retur 25 nov 18:05. Bokningsnr SJ-4577430.</t>
  </si>
  <si>
    <t xml:space="preserve">13</t>
  </si>
  <si>
    <t xml:space="preserve">M12</t>
  </si>
  <si>
    <t xml:space="preserve">reservations@hotelatsix.com</t>
  </si>
  <si>
    <t xml:space="preserve">Booking confirmation 2–3 December</t>
  </si>
  <si>
    <t xml:space="preserve">Check-in 2 December 2026, check-out 3 December 2026. Hotel At Six, Brunkebergstorg 6, Stockholm.</t>
  </si>
  <si>
    <t xml:space="preserve">14</t>
  </si>
  <si>
    <t xml:space="preserve">M13</t>
  </si>
  <si>
    <t xml:space="preserve">kvitto@taxikurir.se</t>
  </si>
  <si>
    <t xml:space="preserve">Kvitto resa 2026-09-21</t>
  </si>
  <si>
    <t xml:space="preserve">Resa Landvetter–Göteborg centrum 21 sep 2026. Belopp 612 kr. Kvitto för bokföring.</t>
  </si>
  <si>
    <t xml:space="preserve">Taxi, historisk</t>
  </si>
  <si>
    <t xml:space="preserve">M14</t>
  </si>
  <si>
    <t xml:space="preserve">nyhetsbrev@booking.com</t>
  </si>
  <si>
    <t xml:space="preserve">Hotell i Barcelona från 690 kr</t>
  </si>
  <si>
    <t xml:space="preserve">Höstens bästa erbjudanden. Boka före 30 september och spara upp till 30 procent.</t>
  </si>
  <si>
    <t xml:space="preserve">BRUS, marknadsföring</t>
  </si>
  <si>
    <t xml:space="preserve">M15</t>
  </si>
  <si>
    <t xml:space="preserve">nyheter@sj.se</t>
  </si>
  <si>
    <t xml:space="preserve">Prisvärt att resa i höst</t>
  </si>
  <si>
    <t xml:space="preserve">Upptäck Sverige med tåg. Se våra höstpriser och res klimatsmart.</t>
  </si>
  <si>
    <t xml:space="preserve">M16</t>
  </si>
  <si>
    <t xml:space="preserve">faktura@telia.se</t>
  </si>
  <si>
    <t xml:space="preserve">Telia</t>
  </si>
  <si>
    <t xml:space="preserve">Din faktura september</t>
  </si>
  <si>
    <t xml:space="preserve">Fakturabelopp 449 kr. Förfallodag 30 september 2026.</t>
  </si>
  <si>
    <t xml:space="preserve">BRUS, ej resa</t>
  </si>
  <si>
    <t xml:space="preserve">M17</t>
  </si>
  <si>
    <t xml:space="preserve">Bokningsbekräftelse Scandic Rubinen</t>
  </si>
  <si>
    <t xml:space="preserve">Incheckning 5 september 2026, utcheckning 6 september 2026. Scandic Rubinen, Göteborg.</t>
  </si>
  <si>
    <t xml:space="preserve">Hotell, historisk</t>
  </si>
  <si>
    <t xml:space="preserve">M18</t>
  </si>
  <si>
    <t xml:space="preserve">kontakt@lkab.com</t>
  </si>
  <si>
    <t xml:space="preserve">Praktiskt inför 15 oktober</t>
  </si>
  <si>
    <t xml:space="preserve">Vi ses 09:00 i Clarion Sense konferensrum. Hör av dig om du behöver hjälp med boende.</t>
  </si>
  <si>
    <t xml:space="preserve">Kundkontakt, ej bokning</t>
  </si>
  <si>
    <t xml:space="preserve">M19</t>
  </si>
  <si>
    <t xml:space="preserve">Incheckning öppnar snart GOT–LLA</t>
  </si>
  <si>
    <t xml:space="preserve">Din resa 14 oktober närmar sig. Checka in från 13 oktober 15:55. Referens QK7PLM.</t>
  </si>
  <si>
    <t xml:space="preserve">Flyg, påminnelse</t>
  </si>
  <si>
    <t xml:space="preserve">M20</t>
  </si>
  <si>
    <t xml:space="preserve">info@sverigeskommunikatorer.se</t>
  </si>
  <si>
    <t xml:space="preserve">Avtal moderator 3 december</t>
  </si>
  <si>
    <t xml:space="preserve">Bekräftar dig som moderator 3 dec på Nalen. Vi står för lokal, du bokar egen resa och boende.</t>
  </si>
  <si>
    <t xml:space="preserve">Reseförslag — så ska en körning se ut när något saknas</t>
  </si>
  <si>
    <t xml:space="preserve">Resefönstret räknas ur Start/Slut plus marginalerna i Inställningar. Söklänken byggs från Länkmallar. Systemet påstår aldrig en avgångstid det inte har sett — det säger när han måste vara framme och låter honom välja.</t>
  </si>
  <si>
    <t xml:space="preserve">Gig</t>
  </si>
  <si>
    <t xml:space="preserve">Vad som saknas</t>
  </si>
  <si>
    <t xml:space="preserve">Måste vara framme</t>
  </si>
  <si>
    <t xml:space="preserve">Tidigast hemresa</t>
  </si>
  <si>
    <t xml:space="preserve">Nätter</t>
  </si>
  <si>
    <t xml:space="preserve">Förslag</t>
  </si>
  <si>
    <t xml:space="preserve">Söklänk att bygga</t>
  </si>
  <si>
    <t xml:space="preserve">Regel som utlöste</t>
  </si>
  <si>
    <t xml:space="preserve">Boende + resa dit</t>
  </si>
  <si>
    <t xml:space="preserve">2 okt 07:45</t>
  </si>
  <si>
    <t xml:space="preserve">2 okt 10:30</t>
  </si>
  <si>
    <t xml:space="preserve">1→2 okt (1 natt)</t>
  </si>
  <si>
    <t xml:space="preserve">Tåg Göteborg C–Malmö C den 1 okt, avgång efter 15:00. Boende i Malmö natten 1–2 okt inom 900 m från Dag Hammarskjölds torg. Scandic först.</t>
  </si>
  <si>
    <t xml:space="preserve">SJ: GBG→Malmö 1 okt  |  Booking: adress + 1–2 okt</t>
  </si>
  <si>
    <t xml:space="preserve">Start 08:30 &lt; 10:00 och 270 km &gt; 120 km</t>
  </si>
  <si>
    <t xml:space="preserve">Boende</t>
  </si>
  <si>
    <t xml:space="preserve">15 okt 08:15</t>
  </si>
  <si>
    <t xml:space="preserve">15 okt 11:30</t>
  </si>
  <si>
    <t xml:space="preserve">14→15 okt (1 natt)</t>
  </si>
  <si>
    <t xml:space="preserve">Flyget är bokat och landar 14 okt 18:40. Lokalen ÄR Clarion Hotel Sense — boka rum där, noll gångavstånd. Scandic-alternativ finns 600 m bort.</t>
  </si>
  <si>
    <t xml:space="preserve">Clarion Sense direkt  |  Booking: Skeppsbrogatan 34</t>
  </si>
  <si>
    <t xml:space="preserve">Gångavstånd 0 m slår kedjepreferensen</t>
  </si>
  <si>
    <t xml:space="preserve">Resa + felbokat hotell</t>
  </si>
  <si>
    <t xml:space="preserve">28 okt 10:15</t>
  </si>
  <si>
    <t xml:space="preserve">28 okt 13:30</t>
  </si>
  <si>
    <t xml:space="preserve">Två vägar, se förslag</t>
  </si>
  <si>
    <t xml:space="preserve">Åtgärda först: Thon-bokningen ligger 28 NOV, en månad fel. Boka om eller avboka. Sedan antingen morgontåg 28 okt (avgång ca 06:00, 4 h) eller resa 27 okt kväll med natt i Oslo — tryggare för en 11:00-start utomlands.</t>
  </si>
  <si>
    <t xml:space="preserve">Vy/SJ: GBG→Oslo 27 el 28 okt  |  Booking: Youngs gate 21</t>
  </si>
  <si>
    <t xml:space="preserve">296 km &lt; 600 km ⇒ tåg före flyg</t>
  </si>
  <si>
    <t xml:space="preserve">Boende + resa</t>
  </si>
  <si>
    <t xml:space="preserve">19 nov 07:15</t>
  </si>
  <si>
    <t xml:space="preserve">19 nov 10:30</t>
  </si>
  <si>
    <t xml:space="preserve">18→19 nov (1 natt)</t>
  </si>
  <si>
    <t xml:space="preserve">Tåg Göteborg–København H den 18 nov, ca 3 h 45. Boende nära Bella Center natten 18–19 nov — Amager hellre än centrum med tanke på 08:00-start.</t>
  </si>
  <si>
    <t xml:space="preserve">SJ/DSB: GBG→CPH 18 nov  |  Booking: Center Blvd 5</t>
  </si>
  <si>
    <t xml:space="preserve">Utland + start 08:00; 310 km ⇒ tåg</t>
  </si>
  <si>
    <t xml:space="preserve">Resa dit</t>
  </si>
  <si>
    <t xml:space="preserve">3 dec 09:15</t>
  </si>
  <si>
    <t xml:space="preserve">3 dec 12:30</t>
  </si>
  <si>
    <t xml:space="preserve">Hotell finns 2–3 dec</t>
  </si>
  <si>
    <t xml:space="preserve">Hotellet är bokat från 2 dec, så resan bör gå den 2 dec. Tåg Göteborg C–Stockholm C på eftermiddagen, hemresa 3 dec efter 12:30.</t>
  </si>
  <si>
    <t xml:space="preserve">SJ: GBG→STO 2 dec, retur 3 dec</t>
  </si>
  <si>
    <t xml:space="preserve">Boende bokat 2 dec ⇒ resa samma dag</t>
  </si>
  <si>
    <t xml:space="preserve">Utanför fönstret</t>
  </si>
  <si>
    <t xml:space="preserve">10 dec 08:15</t>
  </si>
  <si>
    <t xml:space="preserve">10 dec 11:30</t>
  </si>
  <si>
    <t xml:space="preserve">9→10 dec (1 natt)</t>
  </si>
  <si>
    <t xml:space="preserve">FÖRVARNING, inget förslag ännu. Uppdraget ligger 79 dagar fram och fönstret är 75, så det bedöms först vid nästa körning. Utland med flyg och boende — nämns här så att framförhållningen finns kvar när det kommer in i fönstret.</t>
  </si>
  <si>
    <t xml:space="preserve">Google Flights: GOT→HEL 9 dec  |  Booking: Mannerheimintie 13</t>
  </si>
  <si>
    <t xml:space="preserve">Utanför fönstret (79 &gt; 75 dagar)</t>
  </si>
  <si>
    <t xml:space="preserve">Så räknas fönstret:</t>
  </si>
  <si>
    <t xml:space="preserve">»Måste vara framme« = starttid minus marginalen i Inställningar (45 min).  »Tidigast hemresa« = sluttid plus 30 min.  Räcker restiden hemifrån ändå ej, faller raden tillbaka på natt innan. Gig som arrangören bokar (10, 11) och gig på hemorten (1, 16) hoppas över helt.</t>
  </si>
  <si>
    <t xml:space="preserve">Förväntat utfall — vad en korrekt körning ska komma fram till</t>
  </si>
  <si>
    <t xml:space="preserve">Mät träffsäkerheten mot det här bladet. En demo där allt matchar perfekt bevisar ingenting — fällorna är poängen.</t>
  </si>
  <si>
    <t xml:space="preserve">Resa</t>
  </si>
  <si>
    <t xml:space="preserve">Larm?</t>
  </si>
  <si>
    <t xml:space="preserve">Förslag ska ges</t>
  </si>
  <si>
    <t xml:space="preserve">Vad raden testar</t>
  </si>
  <si>
    <t xml:space="preserve">Behövs ej</t>
  </si>
  <si>
    <t xml:space="preserve">Hemort — jobbet ska hålla tyst helt.</t>
  </si>
  <si>
    <t xml:space="preserve">Behövs ej (65 km)</t>
  </si>
  <si>
    <t xml:space="preserve">OK, M01</t>
  </si>
  <si>
    <t xml:space="preserve">Dagsresa under km-gränsen. Tåg finns.</t>
  </si>
  <si>
    <t xml:space="preserve">SAKNAS</t>
  </si>
  <si>
    <t xml:space="preserve">SAKNAS — avbokad M03</t>
  </si>
  <si>
    <t xml:space="preserve">JA, kritiskt</t>
  </si>
  <si>
    <t xml:space="preserve">Avbokningen M03 upphäver M02. Att hitta ett träffande mail räcker alltså ej.</t>
  </si>
  <si>
    <t xml:space="preserve">OK, M05</t>
  </si>
  <si>
    <t xml:space="preserve">OK, M04</t>
  </si>
  <si>
    <t xml:space="preserve">Rak träff på både hotell och tåg.</t>
  </si>
  <si>
    <t xml:space="preserve">OK, M05 täcker</t>
  </si>
  <si>
    <t xml:space="preserve">OK, M04 retur</t>
  </si>
  <si>
    <t xml:space="preserve">Sammanhängande resa: ett hotell och en returbiljett täcker två gig.</t>
  </si>
  <si>
    <t xml:space="preserve">OK, M06</t>
  </si>
  <si>
    <t xml:space="preserve">Start 09:00 långt hemifrån kräver natt innan. Lokalen är ett hotell — förslaget ska se det.</t>
  </si>
  <si>
    <t xml:space="preserve">Behövs ej (30 km)</t>
  </si>
  <si>
    <t xml:space="preserve">Kvällsgig nära hemmet — ingen åtgärd.</t>
  </si>
  <si>
    <t xml:space="preserve">OSÄKER — bokat 28 nov</t>
  </si>
  <si>
    <t xml:space="preserve">JA</t>
  </si>
  <si>
    <t xml:space="preserve">Hotellet bokat en månad fel. Ska flaggas och åtgärdas före nytt förslag.</t>
  </si>
  <si>
    <t xml:space="preserve">Överflödig bokning</t>
  </si>
  <si>
    <t xml:space="preserve">OK, M08</t>
  </si>
  <si>
    <t xml:space="preserve">Nej (notera)</t>
  </si>
  <si>
    <t xml:space="preserve">Hotell bokat på en dagsresa. Ingen risk — värt en notering.</t>
  </si>
  <si>
    <t xml:space="preserve">Kolumn K säger Arrangören — hoppas över utan att leta.</t>
  </si>
  <si>
    <t xml:space="preserve">Andra dagen av samma uppdrag.</t>
  </si>
  <si>
    <t xml:space="preserve">Utland, start 08:00. Inget hittat alls. Tåg ska väljas före flyg.</t>
  </si>
  <si>
    <t xml:space="preserve">OK, M11</t>
  </si>
  <si>
    <t xml:space="preserve">Dagsresa med tåg t/r samma dag.</t>
  </si>
  <si>
    <t xml:space="preserve">OK, M12</t>
  </si>
  <si>
    <t xml:space="preserve">Hotell finns, resan saknas. Förslaget ska ankra resdatum till hotellets incheckning.</t>
  </si>
  <si>
    <t xml:space="preserve">Nej — förvarning</t>
  </si>
  <si>
    <t xml:space="preserve">Ligger 79 dagar fram, fönstret är 75. Ska EJ bedömas som lucka. Utlandsuppdrag strax utanför fönstret ska dock nämnas som förvarning.</t>
  </si>
  <si>
    <t xml:space="preserve">Hemort igen, kvällstid.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</si>
</sst>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0000FF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1"/>
    <col collapsed="false" customWidth="true" hidden="false" outlineLevel="0" max="4" min="3" style="1" width="7"/>
    <col collapsed="false" customWidth="true" hidden="false" outlineLevel="0" max="5" min="5" style="1" width="13"/>
    <col collapsed="false" customWidth="true" hidden="false" outlineLevel="0" max="6" min="6" style="1" width="9"/>
    <col collapsed="false" customWidth="true" hidden="false" outlineLevel="0" max="7" min="7" style="1" width="24"/>
    <col collapsed="false" customWidth="true" hidden="false" outlineLevel="0" max="8" min="8" style="1" width="30"/>
    <col collapsed="false" customWidth="true" hidden="false" outlineLevel="0" max="9" min="9" style="1" width="22"/>
    <col collapsed="false" customWidth="true" hidden="false" outlineLevel="0" max="10" min="10" style="1" width="12"/>
    <col collapsed="false" customWidth="true" hidden="false" outlineLevel="0" max="11" min="11" style="1" width="15"/>
    <col collapsed="false" customWidth="true" hidden="false" outlineLevel="0" max="12" min="12" style="1" width="12"/>
    <col collapsed="false" customWidth="true" hidden="false" outlineLevel="0" max="13" min="13" style="1" width="9"/>
    <col collapsed="false" customWidth="true" hidden="false" outlineLevel="0" max="16" min="14" style="1" width="15"/>
    <col collapsed="false" customWidth="true" hidden="false" outlineLevel="0" max="17" min="17" style="1" width="13"/>
    <col collapsed="false" customWidth="true" hidden="false" outlineLevel="0" max="19" min="18" style="1" width="42"/>
    <col collapsed="false" customWidth="true" hidden="false" outlineLevel="0" max="20" min="20" style="1" width="13"/>
    <col collapsed="false" customWidth="true" hidden="false" outlineLevel="0" max="21" min="21" style="1" width="4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</row>
    <row r="5" customFormat="false" ht="15" hidden="false" customHeight="true" outlineLevel="0" collapsed="false">
      <c r="A5" s="5" t="n">
        <v>1</v>
      </c>
      <c r="B5" s="6" t="n">
        <v>46290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7" t="s">
        <v>28</v>
      </c>
      <c r="I5" s="5" t="s">
        <v>29</v>
      </c>
      <c r="J5" s="5" t="s">
        <v>30</v>
      </c>
      <c r="K5" s="5" t="s">
        <v>31</v>
      </c>
      <c r="L5" s="5" t="s">
        <v>32</v>
      </c>
      <c r="M5" s="8" t="n">
        <f aca="true">B5-TODAY()</f>
        <v>3</v>
      </c>
      <c r="N5" s="9"/>
      <c r="O5" s="9"/>
      <c r="P5" s="9"/>
      <c r="Q5" s="9"/>
      <c r="R5" s="9"/>
      <c r="S5" s="9"/>
      <c r="T5" s="10"/>
      <c r="U5" s="9"/>
    </row>
    <row r="6" customFormat="false" ht="15" hidden="false" customHeight="true" outlineLevel="0" collapsed="false">
      <c r="A6" s="5" t="n">
        <v>2</v>
      </c>
      <c r="B6" s="6" t="n">
        <v>46295</v>
      </c>
      <c r="C6" s="5" t="s">
        <v>33</v>
      </c>
      <c r="D6" s="5" t="s">
        <v>34</v>
      </c>
      <c r="E6" s="5" t="s">
        <v>35</v>
      </c>
      <c r="F6" s="5" t="s">
        <v>26</v>
      </c>
      <c r="G6" s="5" t="s">
        <v>36</v>
      </c>
      <c r="H6" s="7" t="s">
        <v>37</v>
      </c>
      <c r="I6" s="5" t="s">
        <v>36</v>
      </c>
      <c r="J6" s="5" t="s">
        <v>38</v>
      </c>
      <c r="K6" s="5" t="s">
        <v>31</v>
      </c>
      <c r="L6" s="5" t="s">
        <v>32</v>
      </c>
      <c r="M6" s="8" t="n">
        <f aca="true">B6-TODAY()</f>
        <v>8</v>
      </c>
      <c r="N6" s="9"/>
      <c r="O6" s="9"/>
      <c r="P6" s="9"/>
      <c r="Q6" s="9"/>
      <c r="R6" s="9"/>
      <c r="S6" s="9"/>
      <c r="T6" s="10"/>
      <c r="U6" s="9"/>
    </row>
    <row r="7" customFormat="false" ht="15" hidden="false" customHeight="true" outlineLevel="0" collapsed="false">
      <c r="A7" s="5" t="n">
        <v>3</v>
      </c>
      <c r="B7" s="6" t="n">
        <v>46297</v>
      </c>
      <c r="C7" s="5" t="s">
        <v>39</v>
      </c>
      <c r="D7" s="5" t="s">
        <v>40</v>
      </c>
      <c r="E7" s="5" t="s">
        <v>41</v>
      </c>
      <c r="F7" s="5" t="s">
        <v>26</v>
      </c>
      <c r="G7" s="5" t="s">
        <v>42</v>
      </c>
      <c r="H7" s="7" t="s">
        <v>43</v>
      </c>
      <c r="I7" s="5" t="s">
        <v>44</v>
      </c>
      <c r="J7" s="5" t="s">
        <v>30</v>
      </c>
      <c r="K7" s="5" t="s">
        <v>31</v>
      </c>
      <c r="L7" s="5" t="s">
        <v>32</v>
      </c>
      <c r="M7" s="8" t="n">
        <f aca="true">B7-TODAY()</f>
        <v>10</v>
      </c>
      <c r="N7" s="9"/>
      <c r="O7" s="9"/>
      <c r="P7" s="9"/>
      <c r="Q7" s="9"/>
      <c r="R7" s="9"/>
      <c r="S7" s="9"/>
      <c r="T7" s="10"/>
      <c r="U7" s="9"/>
    </row>
    <row r="8" customFormat="false" ht="15" hidden="false" customHeight="true" outlineLevel="0" collapsed="false">
      <c r="A8" s="5" t="n">
        <v>4</v>
      </c>
      <c r="B8" s="6" t="n">
        <v>46303</v>
      </c>
      <c r="C8" s="5" t="s">
        <v>40</v>
      </c>
      <c r="D8" s="5" t="s">
        <v>24</v>
      </c>
      <c r="E8" s="5" t="s">
        <v>45</v>
      </c>
      <c r="F8" s="5" t="s">
        <v>26</v>
      </c>
      <c r="G8" s="5" t="s">
        <v>46</v>
      </c>
      <c r="H8" s="7" t="s">
        <v>47</v>
      </c>
      <c r="I8" s="5" t="s">
        <v>48</v>
      </c>
      <c r="J8" s="5" t="s">
        <v>30</v>
      </c>
      <c r="K8" s="5" t="s">
        <v>31</v>
      </c>
      <c r="L8" s="5" t="s">
        <v>32</v>
      </c>
      <c r="M8" s="8" t="n">
        <f aca="true">B8-TODAY()</f>
        <v>16</v>
      </c>
      <c r="N8" s="9"/>
      <c r="O8" s="9"/>
      <c r="P8" s="9"/>
      <c r="Q8" s="9"/>
      <c r="R8" s="9"/>
      <c r="S8" s="9"/>
      <c r="T8" s="10"/>
      <c r="U8" s="9"/>
    </row>
    <row r="9" customFormat="false" ht="15" hidden="false" customHeight="true" outlineLevel="0" collapsed="false">
      <c r="A9" s="5" t="n">
        <v>5</v>
      </c>
      <c r="B9" s="6" t="n">
        <v>46304</v>
      </c>
      <c r="C9" s="5" t="s">
        <v>49</v>
      </c>
      <c r="D9" s="5" t="s">
        <v>50</v>
      </c>
      <c r="E9" s="5" t="s">
        <v>45</v>
      </c>
      <c r="F9" s="5" t="s">
        <v>26</v>
      </c>
      <c r="G9" s="5" t="s">
        <v>51</v>
      </c>
      <c r="H9" s="7" t="s">
        <v>52</v>
      </c>
      <c r="I9" s="5" t="s">
        <v>53</v>
      </c>
      <c r="J9" s="5" t="s">
        <v>38</v>
      </c>
      <c r="K9" s="5" t="s">
        <v>31</v>
      </c>
      <c r="L9" s="5" t="s">
        <v>32</v>
      </c>
      <c r="M9" s="8" t="n">
        <f aca="true">B9-TODAY()</f>
        <v>17</v>
      </c>
      <c r="N9" s="9"/>
      <c r="O9" s="9"/>
      <c r="P9" s="9"/>
      <c r="Q9" s="9"/>
      <c r="R9" s="9"/>
      <c r="S9" s="9"/>
      <c r="T9" s="10"/>
      <c r="U9" s="9"/>
    </row>
    <row r="10" customFormat="false" ht="15" hidden="false" customHeight="true" outlineLevel="0" collapsed="false">
      <c r="A10" s="5" t="n">
        <v>6</v>
      </c>
      <c r="B10" s="6" t="n">
        <v>46310</v>
      </c>
      <c r="C10" s="5" t="s">
        <v>23</v>
      </c>
      <c r="D10" s="5" t="s">
        <v>54</v>
      </c>
      <c r="E10" s="5" t="s">
        <v>55</v>
      </c>
      <c r="F10" s="5" t="s">
        <v>26</v>
      </c>
      <c r="G10" s="5" t="s">
        <v>56</v>
      </c>
      <c r="H10" s="7" t="s">
        <v>57</v>
      </c>
      <c r="I10" s="5" t="s">
        <v>58</v>
      </c>
      <c r="J10" s="5" t="s">
        <v>30</v>
      </c>
      <c r="K10" s="5" t="s">
        <v>31</v>
      </c>
      <c r="L10" s="5" t="s">
        <v>32</v>
      </c>
      <c r="M10" s="8" t="n">
        <f aca="true">B10-TODAY()</f>
        <v>23</v>
      </c>
      <c r="N10" s="9"/>
      <c r="O10" s="9"/>
      <c r="P10" s="9"/>
      <c r="Q10" s="9"/>
      <c r="R10" s="9"/>
      <c r="S10" s="9"/>
      <c r="T10" s="10"/>
      <c r="U10" s="9"/>
    </row>
    <row r="11" customFormat="false" ht="15" hidden="false" customHeight="true" outlineLevel="0" collapsed="false">
      <c r="A11" s="5" t="n">
        <v>7</v>
      </c>
      <c r="B11" s="6" t="n">
        <v>46316</v>
      </c>
      <c r="C11" s="5" t="s">
        <v>59</v>
      </c>
      <c r="D11" s="5" t="s">
        <v>60</v>
      </c>
      <c r="E11" s="5" t="s">
        <v>61</v>
      </c>
      <c r="F11" s="5" t="s">
        <v>26</v>
      </c>
      <c r="G11" s="5" t="s">
        <v>62</v>
      </c>
      <c r="H11" s="7" t="s">
        <v>63</v>
      </c>
      <c r="I11" s="5" t="s">
        <v>64</v>
      </c>
      <c r="J11" s="5" t="s">
        <v>30</v>
      </c>
      <c r="K11" s="5" t="s">
        <v>31</v>
      </c>
      <c r="L11" s="5" t="s">
        <v>32</v>
      </c>
      <c r="M11" s="8" t="n">
        <f aca="true">B11-TODAY()</f>
        <v>29</v>
      </c>
      <c r="N11" s="9"/>
      <c r="O11" s="9"/>
      <c r="P11" s="9"/>
      <c r="Q11" s="9"/>
      <c r="R11" s="9"/>
      <c r="S11" s="9"/>
      <c r="T11" s="10"/>
      <c r="U11" s="9"/>
    </row>
    <row r="12" customFormat="false" ht="15" hidden="false" customHeight="true" outlineLevel="0" collapsed="false">
      <c r="A12" s="5" t="n">
        <v>8</v>
      </c>
      <c r="B12" s="6" t="n">
        <v>46323</v>
      </c>
      <c r="C12" s="5" t="s">
        <v>54</v>
      </c>
      <c r="D12" s="5" t="s">
        <v>33</v>
      </c>
      <c r="E12" s="5" t="s">
        <v>65</v>
      </c>
      <c r="F12" s="5" t="s">
        <v>66</v>
      </c>
      <c r="G12" s="5" t="s">
        <v>67</v>
      </c>
      <c r="H12" s="7" t="s">
        <v>68</v>
      </c>
      <c r="I12" s="5" t="s">
        <v>69</v>
      </c>
      <c r="J12" s="5" t="s">
        <v>30</v>
      </c>
      <c r="K12" s="5" t="s">
        <v>31</v>
      </c>
      <c r="L12" s="5" t="s">
        <v>32</v>
      </c>
      <c r="M12" s="8" t="n">
        <f aca="true">B12-TODAY()</f>
        <v>36</v>
      </c>
      <c r="N12" s="9"/>
      <c r="O12" s="9"/>
      <c r="P12" s="9"/>
      <c r="Q12" s="9"/>
      <c r="R12" s="9"/>
      <c r="S12" s="9"/>
      <c r="T12" s="10"/>
      <c r="U12" s="9"/>
    </row>
    <row r="13" customFormat="false" ht="15" hidden="false" customHeight="true" outlineLevel="0" collapsed="false">
      <c r="A13" s="5" t="n">
        <v>9</v>
      </c>
      <c r="B13" s="6" t="n">
        <v>46330</v>
      </c>
      <c r="C13" s="5" t="s">
        <v>70</v>
      </c>
      <c r="D13" s="5" t="s">
        <v>24</v>
      </c>
      <c r="E13" s="5" t="s">
        <v>71</v>
      </c>
      <c r="F13" s="5" t="s">
        <v>26</v>
      </c>
      <c r="G13" s="5" t="s">
        <v>72</v>
      </c>
      <c r="H13" s="7" t="s">
        <v>73</v>
      </c>
      <c r="I13" s="5" t="s">
        <v>74</v>
      </c>
      <c r="J13" s="5" t="s">
        <v>30</v>
      </c>
      <c r="K13" s="5" t="s">
        <v>31</v>
      </c>
      <c r="L13" s="5" t="s">
        <v>32</v>
      </c>
      <c r="M13" s="8" t="n">
        <f aca="true">B13-TODAY()</f>
        <v>43</v>
      </c>
      <c r="N13" s="9"/>
      <c r="O13" s="9"/>
      <c r="P13" s="9"/>
      <c r="Q13" s="9"/>
      <c r="R13" s="9"/>
      <c r="S13" s="9"/>
      <c r="T13" s="10"/>
      <c r="U13" s="9"/>
    </row>
    <row r="14" customFormat="false" ht="15" hidden="false" customHeight="true" outlineLevel="0" collapsed="false">
      <c r="A14" s="5" t="n">
        <v>10</v>
      </c>
      <c r="B14" s="6" t="n">
        <v>46337</v>
      </c>
      <c r="C14" s="5" t="s">
        <v>33</v>
      </c>
      <c r="D14" s="5" t="s">
        <v>34</v>
      </c>
      <c r="E14" s="5" t="s">
        <v>75</v>
      </c>
      <c r="F14" s="5" t="s">
        <v>26</v>
      </c>
      <c r="G14" s="5" t="s">
        <v>76</v>
      </c>
      <c r="H14" s="7" t="s">
        <v>77</v>
      </c>
      <c r="I14" s="5" t="s">
        <v>78</v>
      </c>
      <c r="J14" s="5" t="s">
        <v>38</v>
      </c>
      <c r="K14" s="5" t="s">
        <v>79</v>
      </c>
      <c r="L14" s="5" t="s">
        <v>32</v>
      </c>
      <c r="M14" s="8" t="n">
        <f aca="true">B14-TODAY()</f>
        <v>50</v>
      </c>
      <c r="N14" s="9"/>
      <c r="O14" s="9"/>
      <c r="P14" s="9"/>
      <c r="Q14" s="9"/>
      <c r="R14" s="9"/>
      <c r="S14" s="9"/>
      <c r="T14" s="10"/>
      <c r="U14" s="9"/>
    </row>
    <row r="15" customFormat="false" ht="15" hidden="false" customHeight="true" outlineLevel="0" collapsed="false">
      <c r="A15" s="5" t="n">
        <v>11</v>
      </c>
      <c r="B15" s="6" t="n">
        <v>46338</v>
      </c>
      <c r="C15" s="5" t="s">
        <v>23</v>
      </c>
      <c r="D15" s="5" t="s">
        <v>24</v>
      </c>
      <c r="E15" s="5" t="s">
        <v>75</v>
      </c>
      <c r="F15" s="5" t="s">
        <v>26</v>
      </c>
      <c r="G15" s="5" t="s">
        <v>76</v>
      </c>
      <c r="H15" s="7" t="s">
        <v>77</v>
      </c>
      <c r="I15" s="5" t="s">
        <v>78</v>
      </c>
      <c r="J15" s="5" t="s">
        <v>38</v>
      </c>
      <c r="K15" s="5" t="s">
        <v>79</v>
      </c>
      <c r="L15" s="5" t="s">
        <v>32</v>
      </c>
      <c r="M15" s="8" t="n">
        <f aca="true">B15-TODAY()</f>
        <v>51</v>
      </c>
      <c r="N15" s="9"/>
      <c r="O15" s="9"/>
      <c r="P15" s="9"/>
      <c r="Q15" s="9"/>
      <c r="R15" s="9"/>
      <c r="S15" s="9"/>
      <c r="T15" s="10"/>
      <c r="U15" s="9"/>
    </row>
    <row r="16" customFormat="false" ht="15" hidden="false" customHeight="true" outlineLevel="0" collapsed="false">
      <c r="A16" s="5" t="n">
        <v>12</v>
      </c>
      <c r="B16" s="6" t="n">
        <v>46345</v>
      </c>
      <c r="C16" s="5" t="s">
        <v>80</v>
      </c>
      <c r="D16" s="5" t="s">
        <v>40</v>
      </c>
      <c r="E16" s="5" t="s">
        <v>81</v>
      </c>
      <c r="F16" s="5" t="s">
        <v>82</v>
      </c>
      <c r="G16" s="5" t="s">
        <v>83</v>
      </c>
      <c r="H16" s="7" t="s">
        <v>84</v>
      </c>
      <c r="I16" s="5" t="s">
        <v>85</v>
      </c>
      <c r="J16" s="5" t="s">
        <v>30</v>
      </c>
      <c r="K16" s="5" t="s">
        <v>31</v>
      </c>
      <c r="L16" s="5" t="s">
        <v>32</v>
      </c>
      <c r="M16" s="8" t="n">
        <f aca="true">B16-TODAY()</f>
        <v>58</v>
      </c>
      <c r="N16" s="9"/>
      <c r="O16" s="9"/>
      <c r="P16" s="9"/>
      <c r="Q16" s="9"/>
      <c r="R16" s="9"/>
      <c r="S16" s="9"/>
      <c r="T16" s="10"/>
      <c r="U16" s="9"/>
    </row>
    <row r="17" customFormat="false" ht="15" hidden="false" customHeight="true" outlineLevel="0" collapsed="false">
      <c r="A17" s="5" t="n">
        <v>13</v>
      </c>
      <c r="B17" s="6" t="n">
        <v>46351</v>
      </c>
      <c r="C17" s="5" t="s">
        <v>86</v>
      </c>
      <c r="D17" s="5" t="s">
        <v>50</v>
      </c>
      <c r="E17" s="5" t="s">
        <v>87</v>
      </c>
      <c r="F17" s="5" t="s">
        <v>26</v>
      </c>
      <c r="G17" s="5" t="s">
        <v>88</v>
      </c>
      <c r="H17" s="7" t="s">
        <v>89</v>
      </c>
      <c r="I17" s="5" t="s">
        <v>90</v>
      </c>
      <c r="J17" s="5" t="s">
        <v>30</v>
      </c>
      <c r="K17" s="5" t="s">
        <v>31</v>
      </c>
      <c r="L17" s="5" t="s">
        <v>32</v>
      </c>
      <c r="M17" s="8" t="n">
        <f aca="true">B17-TODAY()</f>
        <v>64</v>
      </c>
      <c r="N17" s="9"/>
      <c r="O17" s="9"/>
      <c r="P17" s="9"/>
      <c r="Q17" s="9"/>
      <c r="R17" s="9"/>
      <c r="S17" s="9"/>
      <c r="T17" s="10"/>
      <c r="U17" s="9"/>
    </row>
    <row r="18" customFormat="false" ht="15" hidden="false" customHeight="true" outlineLevel="0" collapsed="false">
      <c r="A18" s="5" t="n">
        <v>14</v>
      </c>
      <c r="B18" s="6" t="n">
        <v>46359</v>
      </c>
      <c r="C18" s="5" t="s">
        <v>40</v>
      </c>
      <c r="D18" s="5" t="s">
        <v>24</v>
      </c>
      <c r="E18" s="5" t="s">
        <v>45</v>
      </c>
      <c r="F18" s="5" t="s">
        <v>26</v>
      </c>
      <c r="G18" s="5" t="s">
        <v>91</v>
      </c>
      <c r="H18" s="7" t="s">
        <v>92</v>
      </c>
      <c r="I18" s="5" t="s">
        <v>93</v>
      </c>
      <c r="J18" s="5" t="s">
        <v>94</v>
      </c>
      <c r="K18" s="5" t="s">
        <v>31</v>
      </c>
      <c r="L18" s="5" t="s">
        <v>32</v>
      </c>
      <c r="M18" s="8" t="n">
        <f aca="true">B18-TODAY()</f>
        <v>72</v>
      </c>
      <c r="N18" s="9"/>
      <c r="O18" s="9"/>
      <c r="P18" s="9"/>
      <c r="Q18" s="9"/>
      <c r="R18" s="9"/>
      <c r="S18" s="9"/>
      <c r="T18" s="10"/>
      <c r="U18" s="9"/>
    </row>
    <row r="19" customFormat="false" ht="15" hidden="false" customHeight="true" outlineLevel="0" collapsed="false">
      <c r="A19" s="5" t="n">
        <v>15</v>
      </c>
      <c r="B19" s="6" t="n">
        <v>46366</v>
      </c>
      <c r="C19" s="5" t="s">
        <v>23</v>
      </c>
      <c r="D19" s="5" t="s">
        <v>54</v>
      </c>
      <c r="E19" s="5" t="s">
        <v>95</v>
      </c>
      <c r="F19" s="5" t="s">
        <v>96</v>
      </c>
      <c r="G19" s="5" t="s">
        <v>97</v>
      </c>
      <c r="H19" s="7" t="s">
        <v>98</v>
      </c>
      <c r="I19" s="5" t="s">
        <v>99</v>
      </c>
      <c r="J19" s="5" t="s">
        <v>30</v>
      </c>
      <c r="K19" s="5" t="s">
        <v>31</v>
      </c>
      <c r="L19" s="5" t="s">
        <v>32</v>
      </c>
      <c r="M19" s="8" t="n">
        <f aca="true">B19-TODAY()</f>
        <v>79</v>
      </c>
      <c r="N19" s="9"/>
      <c r="O19" s="9"/>
      <c r="P19" s="9"/>
      <c r="Q19" s="9"/>
      <c r="R19" s="9"/>
      <c r="S19" s="9"/>
      <c r="T19" s="10"/>
      <c r="U19" s="9"/>
    </row>
    <row r="20" customFormat="false" ht="15" hidden="false" customHeight="true" outlineLevel="0" collapsed="false">
      <c r="A20" s="5" t="n">
        <v>16</v>
      </c>
      <c r="B20" s="6" t="n">
        <v>46372</v>
      </c>
      <c r="C20" s="5" t="s">
        <v>100</v>
      </c>
      <c r="D20" s="5" t="s">
        <v>101</v>
      </c>
      <c r="E20" s="5" t="s">
        <v>25</v>
      </c>
      <c r="F20" s="5" t="s">
        <v>26</v>
      </c>
      <c r="G20" s="5" t="s">
        <v>102</v>
      </c>
      <c r="H20" s="7" t="s">
        <v>103</v>
      </c>
      <c r="I20" s="5" t="s">
        <v>104</v>
      </c>
      <c r="J20" s="5" t="s">
        <v>30</v>
      </c>
      <c r="K20" s="5" t="s">
        <v>31</v>
      </c>
      <c r="L20" s="5" t="s">
        <v>32</v>
      </c>
      <c r="M20" s="8" t="n">
        <f aca="true">B20-TODAY()</f>
        <v>85</v>
      </c>
      <c r="N20" s="9"/>
      <c r="O20" s="9"/>
      <c r="P20" s="9"/>
      <c r="Q20" s="9"/>
      <c r="R20" s="9"/>
      <c r="S20" s="9"/>
      <c r="T20" s="10"/>
      <c r="U20" s="9"/>
    </row>
  </sheetData>
  <autoFilter ref="A4:U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66"/>
  </cols>
  <sheetData>
    <row r="1" customFormat="false" ht="15" hidden="false" customHeight="true" outlineLevel="0" collapsed="false">
      <c r="A1" s="2" t="s">
        <v>105</v>
      </c>
    </row>
    <row r="2" customFormat="false" ht="15" hidden="false" customHeight="true" outlineLevel="0" collapsed="false">
      <c r="A2" s="3" t="s">
        <v>106</v>
      </c>
    </row>
    <row r="4" customFormat="false" ht="15" hidden="false" customHeight="true" outlineLevel="0" collapsed="false">
      <c r="A4" s="11" t="s">
        <v>107</v>
      </c>
      <c r="B4" s="12"/>
      <c r="C4" s="12"/>
    </row>
    <row r="5" customFormat="false" ht="15" hidden="false" customHeight="true" outlineLevel="0" collapsed="false">
      <c r="A5" s="13" t="s">
        <v>108</v>
      </c>
      <c r="B5" s="14" t="s">
        <v>25</v>
      </c>
      <c r="C5" s="15" t="s">
        <v>109</v>
      </c>
    </row>
    <row r="6" customFormat="false" ht="15" hidden="false" customHeight="true" outlineLevel="0" collapsed="false">
      <c r="A6" s="13" t="s">
        <v>110</v>
      </c>
      <c r="B6" s="14" t="s">
        <v>111</v>
      </c>
      <c r="C6" s="15" t="s">
        <v>112</v>
      </c>
    </row>
    <row r="7" customFormat="false" ht="15" hidden="false" customHeight="true" outlineLevel="0" collapsed="false">
      <c r="A7" s="13" t="s">
        <v>113</v>
      </c>
      <c r="B7" s="14" t="s">
        <v>114</v>
      </c>
      <c r="C7" s="15" t="s">
        <v>115</v>
      </c>
    </row>
    <row r="8" customFormat="false" ht="15" hidden="false" customHeight="true" outlineLevel="0" collapsed="false">
      <c r="A8" s="11" t="s">
        <v>116</v>
      </c>
      <c r="B8" s="12"/>
      <c r="C8" s="12"/>
    </row>
    <row r="9" customFormat="false" ht="15" hidden="false" customHeight="true" outlineLevel="0" collapsed="false">
      <c r="A9" s="13" t="s">
        <v>117</v>
      </c>
      <c r="B9" s="14" t="n">
        <v>120</v>
      </c>
      <c r="C9" s="15" t="s">
        <v>118</v>
      </c>
    </row>
    <row r="10" customFormat="false" ht="15" hidden="false" customHeight="true" outlineLevel="0" collapsed="false">
      <c r="A10" s="13" t="s">
        <v>119</v>
      </c>
      <c r="B10" s="14" t="s">
        <v>40</v>
      </c>
      <c r="C10" s="15" t="s">
        <v>120</v>
      </c>
    </row>
    <row r="11" customFormat="false" ht="15" hidden="false" customHeight="true" outlineLevel="0" collapsed="false">
      <c r="A11" s="13" t="s">
        <v>121</v>
      </c>
      <c r="B11" s="14" t="s">
        <v>60</v>
      </c>
      <c r="C11" s="15" t="s">
        <v>122</v>
      </c>
    </row>
    <row r="12" customFormat="false" ht="15" hidden="false" customHeight="true" outlineLevel="0" collapsed="false">
      <c r="A12" s="13" t="s">
        <v>123</v>
      </c>
      <c r="B12" s="14" t="s">
        <v>124</v>
      </c>
      <c r="C12" s="15" t="s">
        <v>125</v>
      </c>
    </row>
    <row r="13" customFormat="false" ht="15" hidden="false" customHeight="true" outlineLevel="0" collapsed="false">
      <c r="A13" s="11" t="s">
        <v>126</v>
      </c>
      <c r="B13" s="12"/>
      <c r="C13" s="12"/>
    </row>
    <row r="14" customFormat="false" ht="15" hidden="false" customHeight="true" outlineLevel="0" collapsed="false">
      <c r="A14" s="13" t="s">
        <v>127</v>
      </c>
      <c r="B14" s="14" t="n">
        <v>45</v>
      </c>
      <c r="C14" s="15" t="s">
        <v>128</v>
      </c>
    </row>
    <row r="15" customFormat="false" ht="15" hidden="false" customHeight="true" outlineLevel="0" collapsed="false">
      <c r="A15" s="13" t="s">
        <v>129</v>
      </c>
      <c r="B15" s="14" t="n">
        <v>30</v>
      </c>
      <c r="C15" s="15" t="s">
        <v>130</v>
      </c>
    </row>
    <row r="16" customFormat="false" ht="15" hidden="false" customHeight="true" outlineLevel="0" collapsed="false">
      <c r="A16" s="13" t="s">
        <v>131</v>
      </c>
      <c r="B16" s="14" t="n">
        <v>900</v>
      </c>
      <c r="C16" s="15" t="s">
        <v>132</v>
      </c>
    </row>
    <row r="17" customFormat="false" ht="15" hidden="false" customHeight="true" outlineLevel="0" collapsed="false">
      <c r="A17" s="13" t="s">
        <v>133</v>
      </c>
      <c r="B17" s="14" t="s">
        <v>134</v>
      </c>
      <c r="C17" s="15" t="s">
        <v>135</v>
      </c>
    </row>
    <row r="18" customFormat="false" ht="15" hidden="false" customHeight="true" outlineLevel="0" collapsed="false">
      <c r="A18" s="13" t="s">
        <v>136</v>
      </c>
      <c r="B18" s="14" t="s">
        <v>137</v>
      </c>
      <c r="C18" s="15" t="s">
        <v>138</v>
      </c>
    </row>
    <row r="19" customFormat="false" ht="15" hidden="false" customHeight="true" outlineLevel="0" collapsed="false">
      <c r="A19" s="13" t="s">
        <v>139</v>
      </c>
      <c r="B19" s="14" t="n">
        <v>600</v>
      </c>
      <c r="C19" s="15" t="s">
        <v>140</v>
      </c>
    </row>
    <row r="20" customFormat="false" ht="15" hidden="false" customHeight="true" outlineLevel="0" collapsed="false">
      <c r="A20" s="13" t="s">
        <v>141</v>
      </c>
      <c r="B20" s="14" t="n">
        <v>20</v>
      </c>
      <c r="C20" s="15" t="s">
        <v>142</v>
      </c>
    </row>
    <row r="21" customFormat="false" ht="15" hidden="false" customHeight="true" outlineLevel="0" collapsed="false">
      <c r="A21" s="11" t="s">
        <v>143</v>
      </c>
      <c r="B21" s="12"/>
      <c r="C21" s="12"/>
    </row>
    <row r="22" customFormat="false" ht="15" hidden="false" customHeight="true" outlineLevel="0" collapsed="false">
      <c r="A22" s="13" t="s">
        <v>144</v>
      </c>
      <c r="B22" s="14" t="n">
        <v>75</v>
      </c>
      <c r="C22" s="15" t="s">
        <v>145</v>
      </c>
    </row>
    <row r="23" customFormat="false" ht="15" hidden="false" customHeight="true" outlineLevel="0" collapsed="false">
      <c r="A23" s="13" t="s">
        <v>146</v>
      </c>
      <c r="B23" s="14" t="n">
        <v>14</v>
      </c>
      <c r="C23" s="15" t="s">
        <v>147</v>
      </c>
    </row>
    <row r="24" customFormat="false" ht="15" hidden="false" customHeight="true" outlineLevel="0" collapsed="false">
      <c r="A24" s="13" t="s">
        <v>148</v>
      </c>
      <c r="B24" s="14" t="n">
        <v>240</v>
      </c>
      <c r="C24" s="15" t="s">
        <v>149</v>
      </c>
    </row>
    <row r="25" customFormat="false" ht="15" hidden="false" customHeight="true" outlineLevel="0" collapsed="false">
      <c r="A25" s="11" t="s">
        <v>150</v>
      </c>
      <c r="B25" s="12"/>
      <c r="C25" s="12"/>
    </row>
    <row r="26" customFormat="false" ht="15" hidden="false" customHeight="true" outlineLevel="0" collapsed="false">
      <c r="A26" s="13" t="s">
        <v>151</v>
      </c>
      <c r="B26" s="14" t="s">
        <v>152</v>
      </c>
      <c r="C26" s="15" t="s">
        <v>153</v>
      </c>
    </row>
    <row r="27" customFormat="false" ht="15" hidden="false" customHeight="true" outlineLevel="0" collapsed="false">
      <c r="A27" s="13" t="s">
        <v>154</v>
      </c>
      <c r="B27" s="14" t="s">
        <v>155</v>
      </c>
      <c r="C27" s="15" t="s">
        <v>156</v>
      </c>
    </row>
    <row r="28" customFormat="false" ht="15" hidden="false" customHeight="true" outlineLevel="0" collapsed="false">
      <c r="A28" s="13" t="s">
        <v>157</v>
      </c>
      <c r="B28" s="14" t="s">
        <v>124</v>
      </c>
      <c r="C28" s="15" t="s">
        <v>158</v>
      </c>
    </row>
    <row r="29" customFormat="false" ht="15" hidden="false" customHeight="true" outlineLevel="0" collapsed="false">
      <c r="A29" s="13" t="s">
        <v>159</v>
      </c>
      <c r="B29" s="14" t="s">
        <v>160</v>
      </c>
      <c r="C29" s="15" t="s">
        <v>161</v>
      </c>
    </row>
    <row r="31" customFormat="false" ht="15" hidden="false" customHeight="true" outlineLevel="0" collapsed="false">
      <c r="A31" s="16" t="s">
        <v>162</v>
      </c>
    </row>
    <row r="32" customFormat="false" ht="15" hidden="false" customHeight="true" outlineLevel="0" collapsed="false">
      <c r="A32" s="13" t="s">
        <v>163</v>
      </c>
      <c r="B32" s="13" t="n">
        <f aca="false">COUNTA(Föreläsningar!A5:A200)</f>
        <v>16</v>
      </c>
    </row>
    <row r="33" customFormat="false" ht="15" hidden="false" customHeight="true" outlineLevel="0" collapsed="false">
      <c r="A33" s="13" t="s">
        <v>164</v>
      </c>
      <c r="B33" s="13" t="n">
        <f aca="false">COUNTIFS(Föreläsningar!M5:M200,"&gt;=0",Föreläsningar!M5:M200,"&lt;="&amp;B22)</f>
        <v>14</v>
      </c>
    </row>
    <row r="34" customFormat="false" ht="15" hidden="false" customHeight="true" outlineLevel="0" collapsed="false">
      <c r="A34" s="13" t="s">
        <v>165</v>
      </c>
      <c r="B34" s="13" t="n">
        <f aca="false">COUNTIF(Föreläsningar!K5:K200,"Arrangören")</f>
        <v>2</v>
      </c>
    </row>
    <row r="35" customFormat="false" ht="15" hidden="false" customHeight="true" outlineLevel="0" collapsed="false">
      <c r="A35" s="13" t="s">
        <v>166</v>
      </c>
      <c r="B35" s="13" t="n">
        <f aca="false">COUNTIF(Facit!F5:F200,"JA*")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2"/>
    <col collapsed="false" customWidth="true" hidden="false" outlineLevel="0" max="3" min="3" style="1" width="28"/>
    <col collapsed="false" customWidth="true" hidden="false" outlineLevel="0" max="4" min="4" style="1" width="8"/>
  </cols>
  <sheetData>
    <row r="1" customFormat="false" ht="15" hidden="false" customHeight="true" outlineLevel="0" collapsed="false">
      <c r="A1" s="2" t="s">
        <v>167</v>
      </c>
    </row>
    <row r="2" customFormat="false" ht="15" hidden="false" customHeight="true" outlineLevel="0" collapsed="false">
      <c r="A2" s="3" t="s">
        <v>168</v>
      </c>
    </row>
    <row r="4" customFormat="false" ht="30" hidden="false" customHeight="true" outlineLevel="0" collapsed="false">
      <c r="A4" s="4" t="s">
        <v>169</v>
      </c>
      <c r="B4" s="4" t="s">
        <v>170</v>
      </c>
      <c r="C4" s="4" t="s">
        <v>171</v>
      </c>
      <c r="D4" s="4" t="s">
        <v>172</v>
      </c>
    </row>
    <row r="5" customFormat="false" ht="15" hidden="false" customHeight="true" outlineLevel="0" collapsed="false">
      <c r="A5" s="17" t="s">
        <v>173</v>
      </c>
      <c r="B5" s="5" t="s">
        <v>174</v>
      </c>
      <c r="C5" s="17" t="s">
        <v>175</v>
      </c>
      <c r="D5" s="5" t="s">
        <v>124</v>
      </c>
    </row>
    <row r="6" customFormat="false" ht="15" hidden="false" customHeight="true" outlineLevel="0" collapsed="false">
      <c r="A6" s="17" t="s">
        <v>173</v>
      </c>
      <c r="B6" s="5" t="s">
        <v>176</v>
      </c>
      <c r="C6" s="17" t="s">
        <v>177</v>
      </c>
      <c r="D6" s="5" t="s">
        <v>124</v>
      </c>
    </row>
    <row r="7" customFormat="false" ht="15" hidden="false" customHeight="true" outlineLevel="0" collapsed="false">
      <c r="A7" s="17" t="s">
        <v>173</v>
      </c>
      <c r="B7" s="5" t="s">
        <v>178</v>
      </c>
      <c r="C7" s="17" t="s">
        <v>179</v>
      </c>
      <c r="D7" s="5" t="s">
        <v>124</v>
      </c>
    </row>
    <row r="8" customFormat="false" ht="15" hidden="false" customHeight="true" outlineLevel="0" collapsed="false">
      <c r="A8" s="17" t="s">
        <v>173</v>
      </c>
      <c r="B8" s="5" t="s">
        <v>180</v>
      </c>
      <c r="C8" s="17" t="s">
        <v>181</v>
      </c>
      <c r="D8" s="5" t="s">
        <v>124</v>
      </c>
    </row>
    <row r="9" customFormat="false" ht="15" hidden="false" customHeight="true" outlineLevel="0" collapsed="false">
      <c r="A9" s="17" t="s">
        <v>173</v>
      </c>
      <c r="B9" s="5" t="s">
        <v>182</v>
      </c>
      <c r="C9" s="17" t="s">
        <v>183</v>
      </c>
      <c r="D9" s="5" t="s">
        <v>124</v>
      </c>
    </row>
    <row r="10" customFormat="false" ht="15" hidden="false" customHeight="true" outlineLevel="0" collapsed="false">
      <c r="A10" s="17" t="s">
        <v>173</v>
      </c>
      <c r="B10" s="5" t="s">
        <v>184</v>
      </c>
      <c r="C10" s="17" t="s">
        <v>185</v>
      </c>
      <c r="D10" s="5" t="s">
        <v>124</v>
      </c>
    </row>
    <row r="11" customFormat="false" ht="15" hidden="false" customHeight="true" outlineLevel="0" collapsed="false">
      <c r="A11" s="17" t="s">
        <v>173</v>
      </c>
      <c r="B11" s="5" t="s">
        <v>186</v>
      </c>
      <c r="C11" s="17" t="s">
        <v>187</v>
      </c>
      <c r="D11" s="5" t="s">
        <v>124</v>
      </c>
    </row>
    <row r="12" customFormat="false" ht="15" hidden="false" customHeight="true" outlineLevel="0" collapsed="false">
      <c r="A12" s="17" t="s">
        <v>173</v>
      </c>
      <c r="B12" s="5" t="s">
        <v>188</v>
      </c>
      <c r="C12" s="17" t="s">
        <v>189</v>
      </c>
      <c r="D12" s="5" t="s">
        <v>124</v>
      </c>
    </row>
    <row r="13" customFormat="false" ht="15" hidden="false" customHeight="true" outlineLevel="0" collapsed="false">
      <c r="A13" s="17" t="s">
        <v>173</v>
      </c>
      <c r="B13" s="5" t="s">
        <v>190</v>
      </c>
      <c r="C13" s="17" t="s">
        <v>191</v>
      </c>
      <c r="D13" s="5" t="s">
        <v>124</v>
      </c>
    </row>
    <row r="14" customFormat="false" ht="15" hidden="false" customHeight="true" outlineLevel="0" collapsed="false">
      <c r="A14" s="17" t="s">
        <v>192</v>
      </c>
      <c r="B14" s="5" t="s">
        <v>193</v>
      </c>
      <c r="C14" s="17" t="s">
        <v>194</v>
      </c>
      <c r="D14" s="5" t="s">
        <v>124</v>
      </c>
    </row>
    <row r="15" customFormat="false" ht="15" hidden="false" customHeight="true" outlineLevel="0" collapsed="false">
      <c r="A15" s="17" t="s">
        <v>192</v>
      </c>
      <c r="B15" s="5" t="s">
        <v>195</v>
      </c>
      <c r="C15" s="17" t="s">
        <v>196</v>
      </c>
      <c r="D15" s="5" t="s">
        <v>124</v>
      </c>
    </row>
    <row r="16" customFormat="false" ht="15" hidden="false" customHeight="true" outlineLevel="0" collapsed="false">
      <c r="A16" s="17" t="s">
        <v>192</v>
      </c>
      <c r="B16" s="5" t="s">
        <v>197</v>
      </c>
      <c r="C16" s="17" t="s">
        <v>198</v>
      </c>
      <c r="D16" s="5" t="s">
        <v>124</v>
      </c>
    </row>
    <row r="17" customFormat="false" ht="15" hidden="false" customHeight="true" outlineLevel="0" collapsed="false">
      <c r="A17" s="17" t="s">
        <v>192</v>
      </c>
      <c r="B17" s="5" t="s">
        <v>199</v>
      </c>
      <c r="C17" s="17" t="s">
        <v>200</v>
      </c>
      <c r="D17" s="5" t="s">
        <v>124</v>
      </c>
    </row>
    <row r="18" customFormat="false" ht="15" hidden="false" customHeight="true" outlineLevel="0" collapsed="false">
      <c r="A18" s="17" t="s">
        <v>192</v>
      </c>
      <c r="B18" s="5" t="s">
        <v>201</v>
      </c>
      <c r="C18" s="17" t="s">
        <v>202</v>
      </c>
      <c r="D18" s="5" t="s">
        <v>124</v>
      </c>
    </row>
    <row r="19" customFormat="false" ht="15" hidden="false" customHeight="true" outlineLevel="0" collapsed="false">
      <c r="A19" s="17" t="s">
        <v>192</v>
      </c>
      <c r="B19" s="5" t="s">
        <v>203</v>
      </c>
      <c r="C19" s="17" t="s">
        <v>204</v>
      </c>
      <c r="D19" s="5" t="s">
        <v>124</v>
      </c>
    </row>
    <row r="20" customFormat="false" ht="15" hidden="false" customHeight="true" outlineLevel="0" collapsed="false">
      <c r="A20" s="17" t="s">
        <v>205</v>
      </c>
      <c r="B20" s="5" t="s">
        <v>206</v>
      </c>
      <c r="C20" s="17" t="s">
        <v>207</v>
      </c>
      <c r="D20" s="5" t="s">
        <v>124</v>
      </c>
    </row>
    <row r="21" customFormat="false" ht="15" hidden="false" customHeight="true" outlineLevel="0" collapsed="false">
      <c r="A21" s="17" t="s">
        <v>205</v>
      </c>
      <c r="B21" s="5" t="s">
        <v>208</v>
      </c>
      <c r="C21" s="17" t="s">
        <v>209</v>
      </c>
      <c r="D21" s="5" t="s">
        <v>124</v>
      </c>
    </row>
    <row r="22" customFormat="false" ht="15" hidden="false" customHeight="true" outlineLevel="0" collapsed="false">
      <c r="A22" s="17" t="s">
        <v>205</v>
      </c>
      <c r="B22" s="5" t="s">
        <v>210</v>
      </c>
      <c r="C22" s="17" t="s">
        <v>211</v>
      </c>
      <c r="D22" s="5" t="s">
        <v>124</v>
      </c>
    </row>
    <row r="23" customFormat="false" ht="15" hidden="false" customHeight="true" outlineLevel="0" collapsed="false">
      <c r="A23" s="17" t="s">
        <v>205</v>
      </c>
      <c r="B23" s="5" t="s">
        <v>212</v>
      </c>
      <c r="C23" s="17" t="s">
        <v>213</v>
      </c>
      <c r="D23" s="5" t="s">
        <v>124</v>
      </c>
    </row>
    <row r="24" customFormat="false" ht="15" hidden="false" customHeight="true" outlineLevel="0" collapsed="false">
      <c r="A24" s="17" t="s">
        <v>205</v>
      </c>
      <c r="B24" s="5" t="s">
        <v>214</v>
      </c>
      <c r="C24" s="17" t="s">
        <v>215</v>
      </c>
      <c r="D24" s="5" t="s">
        <v>124</v>
      </c>
    </row>
    <row r="25" customFormat="false" ht="15" hidden="false" customHeight="true" outlineLevel="0" collapsed="false">
      <c r="A25" s="17" t="s">
        <v>216</v>
      </c>
      <c r="B25" s="5" t="s">
        <v>217</v>
      </c>
      <c r="C25" s="17" t="s">
        <v>218</v>
      </c>
      <c r="D25" s="5" t="s">
        <v>124</v>
      </c>
    </row>
    <row r="26" customFormat="false" ht="15" hidden="false" customHeight="true" outlineLevel="0" collapsed="false">
      <c r="A26" s="17" t="s">
        <v>216</v>
      </c>
      <c r="B26" s="5" t="s">
        <v>219</v>
      </c>
      <c r="C26" s="17" t="s">
        <v>220</v>
      </c>
      <c r="D26" s="5" t="s">
        <v>124</v>
      </c>
    </row>
    <row r="27" customFormat="false" ht="15" hidden="false" customHeight="true" outlineLevel="0" collapsed="false">
      <c r="A27" s="17" t="s">
        <v>216</v>
      </c>
      <c r="B27" s="5" t="s">
        <v>221</v>
      </c>
      <c r="C27" s="17" t="s">
        <v>222</v>
      </c>
      <c r="D27" s="5" t="s">
        <v>124</v>
      </c>
    </row>
    <row r="28" customFormat="false" ht="15" hidden="false" customHeight="true" outlineLevel="0" collapsed="false">
      <c r="A28" s="17" t="s">
        <v>216</v>
      </c>
      <c r="B28" s="5" t="s">
        <v>223</v>
      </c>
      <c r="C28" s="17" t="s">
        <v>224</v>
      </c>
      <c r="D28" s="5" t="s">
        <v>124</v>
      </c>
    </row>
    <row r="29" customFormat="false" ht="15" hidden="false" customHeight="true" outlineLevel="0" collapsed="false">
      <c r="A29" s="17" t="s">
        <v>216</v>
      </c>
      <c r="B29" s="5" t="s">
        <v>225</v>
      </c>
      <c r="C29" s="17" t="s">
        <v>226</v>
      </c>
      <c r="D29" s="5" t="s">
        <v>124</v>
      </c>
    </row>
    <row r="30" customFormat="false" ht="15" hidden="false" customHeight="true" outlineLevel="0" collapsed="false">
      <c r="A30" s="17" t="s">
        <v>227</v>
      </c>
      <c r="B30" s="5" t="s">
        <v>228</v>
      </c>
      <c r="C30" s="17" t="s">
        <v>229</v>
      </c>
      <c r="D30" s="5" t="s">
        <v>124</v>
      </c>
    </row>
    <row r="31" customFormat="false" ht="15" hidden="false" customHeight="true" outlineLevel="0" collapsed="false">
      <c r="A31" s="17" t="s">
        <v>227</v>
      </c>
      <c r="B31" s="5" t="s">
        <v>230</v>
      </c>
      <c r="C31" s="17" t="s">
        <v>231</v>
      </c>
      <c r="D31" s="5" t="s">
        <v>124</v>
      </c>
    </row>
    <row r="32" customFormat="false" ht="15" hidden="false" customHeight="true" outlineLevel="0" collapsed="false">
      <c r="A32" s="17" t="s">
        <v>227</v>
      </c>
      <c r="B32" s="5" t="s">
        <v>232</v>
      </c>
      <c r="C32" s="17" t="s">
        <v>233</v>
      </c>
      <c r="D32" s="5" t="s">
        <v>124</v>
      </c>
    </row>
    <row r="33" customFormat="false" ht="15" hidden="false" customHeight="true" outlineLevel="0" collapsed="false">
      <c r="A33" s="17" t="s">
        <v>227</v>
      </c>
      <c r="B33" s="5" t="s">
        <v>234</v>
      </c>
      <c r="C33" s="17" t="s">
        <v>235</v>
      </c>
      <c r="D33" s="5" t="s">
        <v>124</v>
      </c>
    </row>
    <row r="34" customFormat="false" ht="15" hidden="false" customHeight="true" outlineLevel="0" collapsed="false">
      <c r="A34" s="17" t="s">
        <v>236</v>
      </c>
      <c r="B34" s="5" t="s">
        <v>237</v>
      </c>
      <c r="C34" s="17" t="s">
        <v>238</v>
      </c>
      <c r="D34" s="5" t="s">
        <v>124</v>
      </c>
    </row>
    <row r="35" customFormat="false" ht="15" hidden="false" customHeight="true" outlineLevel="0" collapsed="false">
      <c r="A35" s="17" t="s">
        <v>236</v>
      </c>
      <c r="B35" s="5" t="s">
        <v>239</v>
      </c>
      <c r="C35" s="17" t="s">
        <v>240</v>
      </c>
      <c r="D35" s="5" t="s">
        <v>124</v>
      </c>
    </row>
    <row r="36" customFormat="false" ht="15" hidden="false" customHeight="true" outlineLevel="0" collapsed="false">
      <c r="A36" s="17" t="s">
        <v>241</v>
      </c>
      <c r="B36" s="5" t="s">
        <v>242</v>
      </c>
      <c r="C36" s="17" t="s">
        <v>243</v>
      </c>
      <c r="D36" s="5" t="s">
        <v>124</v>
      </c>
    </row>
  </sheetData>
  <autoFilter ref="A4:D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76"/>
    <col collapsed="false" customWidth="true" hidden="false" outlineLevel="0" max="4" min="4" style="1" width="26"/>
    <col collapsed="false" customWidth="true" hidden="false" outlineLevel="0" max="5" min="5" style="1" width="44"/>
  </cols>
  <sheetData>
    <row r="1" customFormat="false" ht="15" hidden="false" customHeight="true" outlineLevel="0" collapsed="false">
      <c r="A1" s="2" t="s">
        <v>244</v>
      </c>
    </row>
    <row r="2" customFormat="false" ht="15" hidden="false" customHeight="true" outlineLevel="0" collapsed="false">
      <c r="A2" s="3" t="s">
        <v>245</v>
      </c>
    </row>
    <row r="4" customFormat="false" ht="30" hidden="false" customHeight="true" outlineLevel="0" collapsed="false">
      <c r="A4" s="4" t="s">
        <v>11</v>
      </c>
      <c r="B4" s="4" t="s">
        <v>171</v>
      </c>
      <c r="C4" s="4" t="s">
        <v>246</v>
      </c>
      <c r="D4" s="4" t="s">
        <v>247</v>
      </c>
      <c r="E4" s="4" t="s">
        <v>248</v>
      </c>
    </row>
    <row r="5" customFormat="false" ht="27.75" hidden="false" customHeight="true" outlineLevel="0" collapsed="false">
      <c r="A5" s="18" t="s">
        <v>192</v>
      </c>
      <c r="B5" s="18" t="s">
        <v>194</v>
      </c>
      <c r="C5" s="18" t="s">
        <v>249</v>
      </c>
      <c r="D5" s="19" t="s">
        <v>250</v>
      </c>
      <c r="E5" s="18" t="s">
        <v>251</v>
      </c>
    </row>
    <row r="6" customFormat="false" ht="27.75" hidden="false" customHeight="true" outlineLevel="0" collapsed="false">
      <c r="A6" s="18" t="s">
        <v>192</v>
      </c>
      <c r="B6" s="18" t="s">
        <v>252</v>
      </c>
      <c r="C6" s="18" t="s">
        <v>253</v>
      </c>
      <c r="D6" s="19" t="s">
        <v>250</v>
      </c>
      <c r="E6" s="18" t="s">
        <v>254</v>
      </c>
    </row>
    <row r="7" customFormat="false" ht="27.75" hidden="false" customHeight="true" outlineLevel="0" collapsed="false">
      <c r="A7" s="18" t="s">
        <v>192</v>
      </c>
      <c r="B7" s="18" t="s">
        <v>255</v>
      </c>
      <c r="C7" s="18" t="s">
        <v>256</v>
      </c>
      <c r="D7" s="18" t="s">
        <v>257</v>
      </c>
      <c r="E7" s="18" t="s">
        <v>258</v>
      </c>
    </row>
    <row r="8" customFormat="false" ht="27.75" hidden="false" customHeight="true" outlineLevel="0" collapsed="false">
      <c r="A8" s="18" t="s">
        <v>205</v>
      </c>
      <c r="B8" s="18" t="s">
        <v>259</v>
      </c>
      <c r="C8" s="18" t="s">
        <v>260</v>
      </c>
      <c r="D8" s="19" t="s">
        <v>250</v>
      </c>
      <c r="E8" s="18" t="s">
        <v>261</v>
      </c>
    </row>
    <row r="9" customFormat="false" ht="27.75" hidden="false" customHeight="true" outlineLevel="0" collapsed="false">
      <c r="A9" s="18" t="s">
        <v>173</v>
      </c>
      <c r="B9" s="18" t="s">
        <v>181</v>
      </c>
      <c r="C9" s="18" t="s">
        <v>262</v>
      </c>
      <c r="D9" s="19" t="s">
        <v>250</v>
      </c>
      <c r="E9" s="18" t="s">
        <v>263</v>
      </c>
    </row>
    <row r="10" customFormat="false" ht="27.75" hidden="false" customHeight="true" outlineLevel="0" collapsed="false">
      <c r="A10" s="18" t="s">
        <v>173</v>
      </c>
      <c r="B10" s="18" t="s">
        <v>175</v>
      </c>
      <c r="C10" s="18" t="s">
        <v>264</v>
      </c>
      <c r="D10" s="19" t="s">
        <v>250</v>
      </c>
      <c r="E10" s="18" t="s">
        <v>265</v>
      </c>
    </row>
    <row r="11" customFormat="false" ht="27.75" hidden="false" customHeight="true" outlineLevel="0" collapsed="false">
      <c r="A11" s="18" t="s">
        <v>173</v>
      </c>
      <c r="B11" s="18" t="s">
        <v>266</v>
      </c>
      <c r="C11" s="18" t="s">
        <v>267</v>
      </c>
      <c r="D11" s="19" t="s">
        <v>250</v>
      </c>
      <c r="E11" s="18" t="s">
        <v>268</v>
      </c>
    </row>
    <row r="12" customFormat="false" ht="27.75" hidden="false" customHeight="true" outlineLevel="0" collapsed="false">
      <c r="A12" s="18" t="s">
        <v>216</v>
      </c>
      <c r="B12" s="18" t="s">
        <v>269</v>
      </c>
      <c r="C12" s="18" t="s">
        <v>270</v>
      </c>
      <c r="D12" s="18" t="s">
        <v>271</v>
      </c>
      <c r="E12" s="18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1"/>
    <col collapsed="false" customWidth="true" hidden="false" outlineLevel="0" max="3" min="3" style="1" width="30"/>
    <col collapsed="false" customWidth="true" hidden="false" outlineLevel="0" max="4" min="4" style="1" width="20"/>
    <col collapsed="false" customWidth="true" hidden="false" outlineLevel="0" max="5" min="5" style="1" width="50"/>
    <col collapsed="false" customWidth="true" hidden="false" outlineLevel="0" max="6" min="6" style="1" width="64"/>
    <col collapsed="false" customWidth="true" hidden="false" outlineLevel="0" max="7" min="7" style="1" width="18"/>
    <col collapsed="false" customWidth="true" hidden="false" outlineLevel="0" max="8" min="8" style="1" width="14"/>
  </cols>
  <sheetData>
    <row r="1" customFormat="false" ht="15" hidden="false" customHeight="true" outlineLevel="0" collapsed="false">
      <c r="A1" s="2" t="s">
        <v>273</v>
      </c>
    </row>
    <row r="2" customFormat="false" ht="15" hidden="false" customHeight="true" outlineLevel="0" collapsed="false">
      <c r="A2" s="3" t="s">
        <v>274</v>
      </c>
    </row>
    <row r="4" customFormat="false" ht="30" hidden="false" customHeight="true" outlineLevel="0" collapsed="false">
      <c r="A4" s="4" t="s">
        <v>275</v>
      </c>
      <c r="B4" s="4" t="s">
        <v>276</v>
      </c>
      <c r="C4" s="4" t="s">
        <v>277</v>
      </c>
      <c r="D4" s="4" t="s">
        <v>278</v>
      </c>
      <c r="E4" s="4" t="s">
        <v>279</v>
      </c>
      <c r="F4" s="4" t="s">
        <v>280</v>
      </c>
      <c r="G4" s="4" t="s">
        <v>281</v>
      </c>
      <c r="H4" s="4" t="s">
        <v>282</v>
      </c>
    </row>
    <row r="5" customFormat="false" ht="30" hidden="false" customHeight="true" outlineLevel="0" collapsed="false">
      <c r="A5" s="18" t="s">
        <v>283</v>
      </c>
      <c r="B5" s="20" t="n">
        <v>46273</v>
      </c>
      <c r="C5" s="18" t="s">
        <v>284</v>
      </c>
      <c r="D5" s="18" t="s">
        <v>194</v>
      </c>
      <c r="E5" s="18" t="s">
        <v>285</v>
      </c>
      <c r="F5" s="18" t="s">
        <v>286</v>
      </c>
      <c r="G5" s="19" t="s">
        <v>287</v>
      </c>
      <c r="H5" s="19" t="s">
        <v>288</v>
      </c>
    </row>
    <row r="6" customFormat="false" ht="30" hidden="false" customHeight="true" outlineLevel="0" collapsed="false">
      <c r="A6" s="18" t="s">
        <v>289</v>
      </c>
      <c r="B6" s="20" t="n">
        <v>46274</v>
      </c>
      <c r="C6" s="18" t="s">
        <v>284</v>
      </c>
      <c r="D6" s="18" t="s">
        <v>194</v>
      </c>
      <c r="E6" s="18" t="s">
        <v>290</v>
      </c>
      <c r="F6" s="18" t="s">
        <v>291</v>
      </c>
      <c r="G6" s="19" t="s">
        <v>287</v>
      </c>
      <c r="H6" s="19" t="s">
        <v>292</v>
      </c>
    </row>
    <row r="7" customFormat="false" ht="30" hidden="false" customHeight="true" outlineLevel="0" collapsed="false">
      <c r="A7" s="18" t="s">
        <v>293</v>
      </c>
      <c r="B7" s="20" t="n">
        <v>46281</v>
      </c>
      <c r="C7" s="18" t="s">
        <v>284</v>
      </c>
      <c r="D7" s="18" t="s">
        <v>194</v>
      </c>
      <c r="E7" s="18" t="s">
        <v>294</v>
      </c>
      <c r="F7" s="18" t="s">
        <v>295</v>
      </c>
      <c r="G7" s="19" t="s">
        <v>296</v>
      </c>
      <c r="H7" s="19" t="s">
        <v>292</v>
      </c>
    </row>
    <row r="8" customFormat="false" ht="30" hidden="false" customHeight="true" outlineLevel="0" collapsed="false">
      <c r="A8" s="18" t="s">
        <v>297</v>
      </c>
      <c r="B8" s="20" t="n">
        <v>46280</v>
      </c>
      <c r="C8" s="18" t="s">
        <v>284</v>
      </c>
      <c r="D8" s="18" t="s">
        <v>194</v>
      </c>
      <c r="E8" s="18" t="s">
        <v>298</v>
      </c>
      <c r="F8" s="18" t="s">
        <v>299</v>
      </c>
      <c r="G8" s="19" t="s">
        <v>287</v>
      </c>
      <c r="H8" s="19" t="s">
        <v>300</v>
      </c>
    </row>
    <row r="9" customFormat="false" ht="30" hidden="false" customHeight="true" outlineLevel="0" collapsed="false">
      <c r="A9" s="18" t="s">
        <v>301</v>
      </c>
      <c r="B9" s="20" t="n">
        <v>46280</v>
      </c>
      <c r="C9" s="18" t="s">
        <v>302</v>
      </c>
      <c r="D9" s="18" t="s">
        <v>303</v>
      </c>
      <c r="E9" s="18" t="s">
        <v>304</v>
      </c>
      <c r="F9" s="18" t="s">
        <v>305</v>
      </c>
      <c r="G9" s="19" t="s">
        <v>306</v>
      </c>
      <c r="H9" s="19" t="s">
        <v>300</v>
      </c>
    </row>
    <row r="10" customFormat="false" ht="30" hidden="false" customHeight="true" outlineLevel="0" collapsed="false">
      <c r="A10" s="18" t="s">
        <v>307</v>
      </c>
      <c r="B10" s="20" t="n">
        <v>46283</v>
      </c>
      <c r="C10" s="18" t="s">
        <v>308</v>
      </c>
      <c r="D10" s="18" t="s">
        <v>207</v>
      </c>
      <c r="E10" s="18" t="s">
        <v>309</v>
      </c>
      <c r="F10" s="18" t="s">
        <v>310</v>
      </c>
      <c r="G10" s="19" t="s">
        <v>311</v>
      </c>
      <c r="H10" s="19" t="s">
        <v>312</v>
      </c>
    </row>
    <row r="11" customFormat="false" ht="30" hidden="false" customHeight="true" outlineLevel="0" collapsed="false">
      <c r="A11" s="18" t="s">
        <v>313</v>
      </c>
      <c r="B11" s="20" t="n">
        <v>46267</v>
      </c>
      <c r="C11" s="18" t="s">
        <v>314</v>
      </c>
      <c r="D11" s="18" t="s">
        <v>185</v>
      </c>
      <c r="E11" s="18" t="s">
        <v>315</v>
      </c>
      <c r="F11" s="18" t="s">
        <v>316</v>
      </c>
      <c r="G11" s="19" t="s">
        <v>317</v>
      </c>
      <c r="H11" s="19" t="s">
        <v>318</v>
      </c>
    </row>
    <row r="12" customFormat="false" ht="30" hidden="false" customHeight="true" outlineLevel="0" collapsed="false">
      <c r="A12" s="18" t="s">
        <v>319</v>
      </c>
      <c r="B12" s="20" t="n">
        <v>46284</v>
      </c>
      <c r="C12" s="18" t="s">
        <v>284</v>
      </c>
      <c r="D12" s="18" t="s">
        <v>194</v>
      </c>
      <c r="E12" s="18" t="s">
        <v>320</v>
      </c>
      <c r="F12" s="18" t="s">
        <v>321</v>
      </c>
      <c r="G12" s="19" t="s">
        <v>287</v>
      </c>
      <c r="H12" s="19" t="s">
        <v>322</v>
      </c>
    </row>
    <row r="13" customFormat="false" ht="30" hidden="false" customHeight="true" outlineLevel="0" collapsed="false">
      <c r="A13" s="18" t="s">
        <v>323</v>
      </c>
      <c r="B13" s="20" t="n">
        <v>46284</v>
      </c>
      <c r="C13" s="18" t="s">
        <v>302</v>
      </c>
      <c r="D13" s="18" t="s">
        <v>303</v>
      </c>
      <c r="E13" s="18" t="s">
        <v>324</v>
      </c>
      <c r="F13" s="18" t="s">
        <v>325</v>
      </c>
      <c r="G13" s="19" t="s">
        <v>326</v>
      </c>
      <c r="H13" s="19" t="s">
        <v>322</v>
      </c>
    </row>
    <row r="14" customFormat="false" ht="30" hidden="false" customHeight="true" outlineLevel="0" collapsed="false">
      <c r="A14" s="18" t="s">
        <v>327</v>
      </c>
      <c r="B14" s="20" t="n">
        <v>46262</v>
      </c>
      <c r="C14" s="18" t="s">
        <v>328</v>
      </c>
      <c r="D14" s="18" t="s">
        <v>78</v>
      </c>
      <c r="E14" s="18" t="s">
        <v>329</v>
      </c>
      <c r="F14" s="18" t="s">
        <v>330</v>
      </c>
      <c r="G14" s="19" t="s">
        <v>331</v>
      </c>
      <c r="H14" s="19" t="s">
        <v>332</v>
      </c>
    </row>
    <row r="15" customFormat="false" ht="30" hidden="false" customHeight="true" outlineLevel="0" collapsed="false">
      <c r="A15" s="18" t="s">
        <v>333</v>
      </c>
      <c r="B15" s="20" t="n">
        <v>46285</v>
      </c>
      <c r="C15" s="18" t="s">
        <v>284</v>
      </c>
      <c r="D15" s="18" t="s">
        <v>194</v>
      </c>
      <c r="E15" s="18" t="s">
        <v>334</v>
      </c>
      <c r="F15" s="18" t="s">
        <v>335</v>
      </c>
      <c r="G15" s="19" t="s">
        <v>287</v>
      </c>
      <c r="H15" s="19" t="s">
        <v>336</v>
      </c>
    </row>
    <row r="16" customFormat="false" ht="30" hidden="false" customHeight="true" outlineLevel="0" collapsed="false">
      <c r="A16" s="18" t="s">
        <v>337</v>
      </c>
      <c r="B16" s="20" t="n">
        <v>46275</v>
      </c>
      <c r="C16" s="18" t="s">
        <v>338</v>
      </c>
      <c r="D16" s="18" t="s">
        <v>189</v>
      </c>
      <c r="E16" s="18" t="s">
        <v>339</v>
      </c>
      <c r="F16" s="18" t="s">
        <v>340</v>
      </c>
      <c r="G16" s="19" t="s">
        <v>306</v>
      </c>
      <c r="H16" s="19" t="s">
        <v>341</v>
      </c>
    </row>
    <row r="17" customFormat="false" ht="30" hidden="false" customHeight="true" outlineLevel="0" collapsed="false">
      <c r="A17" s="18" t="s">
        <v>342</v>
      </c>
      <c r="B17" s="20" t="n">
        <v>46286</v>
      </c>
      <c r="C17" s="18" t="s">
        <v>343</v>
      </c>
      <c r="D17" s="18" t="s">
        <v>218</v>
      </c>
      <c r="E17" s="18" t="s">
        <v>344</v>
      </c>
      <c r="F17" s="18" t="s">
        <v>345</v>
      </c>
      <c r="G17" s="19" t="s">
        <v>346</v>
      </c>
      <c r="H17" s="19" t="s">
        <v>270</v>
      </c>
    </row>
    <row r="18" customFormat="false" ht="30" hidden="false" customHeight="true" outlineLevel="0" collapsed="false">
      <c r="A18" s="18" t="s">
        <v>347</v>
      </c>
      <c r="B18" s="20" t="n">
        <v>46279</v>
      </c>
      <c r="C18" s="18" t="s">
        <v>348</v>
      </c>
      <c r="D18" s="18" t="s">
        <v>181</v>
      </c>
      <c r="E18" s="18" t="s">
        <v>349</v>
      </c>
      <c r="F18" s="18" t="s">
        <v>350</v>
      </c>
      <c r="G18" s="19" t="s">
        <v>351</v>
      </c>
      <c r="H18" s="19" t="s">
        <v>270</v>
      </c>
    </row>
    <row r="19" customFormat="false" ht="30" hidden="false" customHeight="true" outlineLevel="0" collapsed="false">
      <c r="A19" s="18" t="s">
        <v>352</v>
      </c>
      <c r="B19" s="20" t="n">
        <v>46282</v>
      </c>
      <c r="C19" s="18" t="s">
        <v>353</v>
      </c>
      <c r="D19" s="18" t="s">
        <v>194</v>
      </c>
      <c r="E19" s="18" t="s">
        <v>354</v>
      </c>
      <c r="F19" s="18" t="s">
        <v>355</v>
      </c>
      <c r="G19" s="19" t="s">
        <v>351</v>
      </c>
      <c r="H19" s="19" t="s">
        <v>270</v>
      </c>
    </row>
    <row r="20" customFormat="false" ht="30" hidden="false" customHeight="true" outlineLevel="0" collapsed="false">
      <c r="A20" s="18" t="s">
        <v>356</v>
      </c>
      <c r="B20" s="20" t="n">
        <v>46276</v>
      </c>
      <c r="C20" s="18" t="s">
        <v>357</v>
      </c>
      <c r="D20" s="18" t="s">
        <v>358</v>
      </c>
      <c r="E20" s="18" t="s">
        <v>359</v>
      </c>
      <c r="F20" s="18" t="s">
        <v>360</v>
      </c>
      <c r="G20" s="19" t="s">
        <v>361</v>
      </c>
      <c r="H20" s="19" t="s">
        <v>270</v>
      </c>
    </row>
    <row r="21" customFormat="false" ht="30" hidden="false" customHeight="true" outlineLevel="0" collapsed="false">
      <c r="A21" s="18" t="s">
        <v>362</v>
      </c>
      <c r="B21" s="20" t="n">
        <v>46270</v>
      </c>
      <c r="C21" s="18" t="s">
        <v>302</v>
      </c>
      <c r="D21" s="18" t="s">
        <v>303</v>
      </c>
      <c r="E21" s="18" t="s">
        <v>363</v>
      </c>
      <c r="F21" s="18" t="s">
        <v>364</v>
      </c>
      <c r="G21" s="19" t="s">
        <v>365</v>
      </c>
      <c r="H21" s="19" t="s">
        <v>270</v>
      </c>
    </row>
    <row r="22" customFormat="false" ht="30" hidden="false" customHeight="true" outlineLevel="0" collapsed="false">
      <c r="A22" s="18" t="s">
        <v>366</v>
      </c>
      <c r="B22" s="20" t="n">
        <v>46278</v>
      </c>
      <c r="C22" s="18" t="s">
        <v>367</v>
      </c>
      <c r="D22" s="18" t="s">
        <v>58</v>
      </c>
      <c r="E22" s="18" t="s">
        <v>368</v>
      </c>
      <c r="F22" s="18" t="s">
        <v>369</v>
      </c>
      <c r="G22" s="19" t="s">
        <v>370</v>
      </c>
      <c r="H22" s="19" t="s">
        <v>312</v>
      </c>
    </row>
    <row r="23" customFormat="false" ht="30" hidden="false" customHeight="true" outlineLevel="0" collapsed="false">
      <c r="A23" s="18" t="s">
        <v>371</v>
      </c>
      <c r="B23" s="20" t="n">
        <v>46287</v>
      </c>
      <c r="C23" s="18" t="s">
        <v>308</v>
      </c>
      <c r="D23" s="18" t="s">
        <v>207</v>
      </c>
      <c r="E23" s="18" t="s">
        <v>372</v>
      </c>
      <c r="F23" s="18" t="s">
        <v>373</v>
      </c>
      <c r="G23" s="19" t="s">
        <v>374</v>
      </c>
      <c r="H23" s="19" t="s">
        <v>312</v>
      </c>
    </row>
    <row r="24" customFormat="false" ht="30" hidden="false" customHeight="true" outlineLevel="0" collapsed="false">
      <c r="A24" s="18" t="s">
        <v>375</v>
      </c>
      <c r="B24" s="20" t="n">
        <v>46268</v>
      </c>
      <c r="C24" s="18" t="s">
        <v>376</v>
      </c>
      <c r="D24" s="18" t="s">
        <v>93</v>
      </c>
      <c r="E24" s="18" t="s">
        <v>377</v>
      </c>
      <c r="F24" s="18" t="s">
        <v>378</v>
      </c>
      <c r="G24" s="19" t="s">
        <v>370</v>
      </c>
      <c r="H24" s="19" t="s">
        <v>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"/>
    <col collapsed="false" customWidth="true" hidden="false" outlineLevel="0" max="3" min="3" style="1" width="13"/>
    <col collapsed="false" customWidth="true" hidden="false" outlineLevel="0" max="4" min="4" style="1" width="22"/>
    <col collapsed="false" customWidth="true" hidden="false" outlineLevel="0" max="6" min="5" style="1" width="17"/>
    <col collapsed="false" customWidth="true" hidden="false" outlineLevel="0" max="7" min="7" style="1" width="15"/>
    <col collapsed="false" customWidth="true" hidden="false" outlineLevel="0" max="8" min="8" style="1" width="54"/>
    <col collapsed="false" customWidth="true" hidden="false" outlineLevel="0" max="9" min="9" style="1" width="46"/>
    <col collapsed="false" customWidth="true" hidden="false" outlineLevel="0" max="10" min="10" style="1" width="30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3" t="s">
        <v>380</v>
      </c>
    </row>
    <row r="4" customFormat="false" ht="30" hidden="false" customHeight="true" outlineLevel="0" collapsed="false">
      <c r="A4" s="4" t="s">
        <v>381</v>
      </c>
      <c r="B4" s="4" t="s">
        <v>3</v>
      </c>
      <c r="C4" s="4" t="s">
        <v>6</v>
      </c>
      <c r="D4" s="4" t="s">
        <v>382</v>
      </c>
      <c r="E4" s="4" t="s">
        <v>383</v>
      </c>
      <c r="F4" s="4" t="s">
        <v>384</v>
      </c>
      <c r="G4" s="4" t="s">
        <v>385</v>
      </c>
      <c r="H4" s="4" t="s">
        <v>386</v>
      </c>
      <c r="I4" s="4" t="s">
        <v>387</v>
      </c>
      <c r="J4" s="4" t="s">
        <v>388</v>
      </c>
    </row>
    <row r="5" customFormat="false" ht="61.5" hidden="false" customHeight="true" outlineLevel="0" collapsed="false">
      <c r="A5" s="18" t="n">
        <v>3</v>
      </c>
      <c r="B5" s="20" t="n">
        <v>46297</v>
      </c>
      <c r="C5" s="18" t="s">
        <v>41</v>
      </c>
      <c r="D5" s="19" t="s">
        <v>389</v>
      </c>
      <c r="E5" s="18" t="s">
        <v>390</v>
      </c>
      <c r="F5" s="18" t="s">
        <v>391</v>
      </c>
      <c r="G5" s="18" t="s">
        <v>392</v>
      </c>
      <c r="H5" s="21" t="s">
        <v>393</v>
      </c>
      <c r="I5" s="18" t="s">
        <v>394</v>
      </c>
      <c r="J5" s="18" t="s">
        <v>395</v>
      </c>
    </row>
    <row r="6" customFormat="false" ht="61.5" hidden="false" customHeight="true" outlineLevel="0" collapsed="false">
      <c r="A6" s="18" t="n">
        <v>6</v>
      </c>
      <c r="B6" s="20" t="n">
        <v>46310</v>
      </c>
      <c r="C6" s="18" t="s">
        <v>55</v>
      </c>
      <c r="D6" s="19" t="s">
        <v>396</v>
      </c>
      <c r="E6" s="18" t="s">
        <v>397</v>
      </c>
      <c r="F6" s="18" t="s">
        <v>398</v>
      </c>
      <c r="G6" s="18" t="s">
        <v>399</v>
      </c>
      <c r="H6" s="21" t="s">
        <v>400</v>
      </c>
      <c r="I6" s="18" t="s">
        <v>401</v>
      </c>
      <c r="J6" s="18" t="s">
        <v>402</v>
      </c>
    </row>
    <row r="7" customFormat="false" ht="61.5" hidden="false" customHeight="true" outlineLevel="0" collapsed="false">
      <c r="A7" s="18" t="n">
        <v>8</v>
      </c>
      <c r="B7" s="20" t="n">
        <v>46323</v>
      </c>
      <c r="C7" s="18" t="s">
        <v>65</v>
      </c>
      <c r="D7" s="19" t="s">
        <v>403</v>
      </c>
      <c r="E7" s="18" t="s">
        <v>404</v>
      </c>
      <c r="F7" s="18" t="s">
        <v>405</v>
      </c>
      <c r="G7" s="18" t="s">
        <v>406</v>
      </c>
      <c r="H7" s="21" t="s">
        <v>407</v>
      </c>
      <c r="I7" s="18" t="s">
        <v>408</v>
      </c>
      <c r="J7" s="18" t="s">
        <v>409</v>
      </c>
    </row>
    <row r="8" customFormat="false" ht="61.5" hidden="false" customHeight="true" outlineLevel="0" collapsed="false">
      <c r="A8" s="18" t="n">
        <v>12</v>
      </c>
      <c r="B8" s="20" t="n">
        <v>46345</v>
      </c>
      <c r="C8" s="18" t="s">
        <v>81</v>
      </c>
      <c r="D8" s="19" t="s">
        <v>410</v>
      </c>
      <c r="E8" s="18" t="s">
        <v>411</v>
      </c>
      <c r="F8" s="18" t="s">
        <v>412</v>
      </c>
      <c r="G8" s="18" t="s">
        <v>413</v>
      </c>
      <c r="H8" s="21" t="s">
        <v>414</v>
      </c>
      <c r="I8" s="18" t="s">
        <v>415</v>
      </c>
      <c r="J8" s="18" t="s">
        <v>416</v>
      </c>
    </row>
    <row r="9" customFormat="false" ht="61.5" hidden="false" customHeight="true" outlineLevel="0" collapsed="false">
      <c r="A9" s="18" t="n">
        <v>14</v>
      </c>
      <c r="B9" s="20" t="n">
        <v>46359</v>
      </c>
      <c r="C9" s="18" t="s">
        <v>45</v>
      </c>
      <c r="D9" s="19" t="s">
        <v>417</v>
      </c>
      <c r="E9" s="18" t="s">
        <v>418</v>
      </c>
      <c r="F9" s="18" t="s">
        <v>419</v>
      </c>
      <c r="G9" s="18" t="s">
        <v>420</v>
      </c>
      <c r="H9" s="21" t="s">
        <v>421</v>
      </c>
      <c r="I9" s="18" t="s">
        <v>422</v>
      </c>
      <c r="J9" s="18" t="s">
        <v>423</v>
      </c>
    </row>
    <row r="10" customFormat="false" ht="61.5" hidden="false" customHeight="true" outlineLevel="0" collapsed="false">
      <c r="A10" s="18" t="n">
        <v>15</v>
      </c>
      <c r="B10" s="20" t="n">
        <v>46366</v>
      </c>
      <c r="C10" s="18" t="s">
        <v>95</v>
      </c>
      <c r="D10" s="19" t="s">
        <v>424</v>
      </c>
      <c r="E10" s="18" t="s">
        <v>425</v>
      </c>
      <c r="F10" s="18" t="s">
        <v>426</v>
      </c>
      <c r="G10" s="18" t="s">
        <v>427</v>
      </c>
      <c r="H10" s="21" t="s">
        <v>428</v>
      </c>
      <c r="I10" s="18" t="s">
        <v>429</v>
      </c>
      <c r="J10" s="18" t="s">
        <v>430</v>
      </c>
    </row>
    <row r="12" customFormat="false" ht="15" hidden="false" customHeight="true" outlineLevel="0" collapsed="false">
      <c r="A12" s="16" t="s">
        <v>431</v>
      </c>
    </row>
    <row r="13" customFormat="false" ht="30" hidden="false" customHeight="true" outlineLevel="0" collapsed="false">
      <c r="A13" s="22" t="s">
        <v>432</v>
      </c>
      <c r="B13" s="22"/>
      <c r="C13" s="22"/>
      <c r="D13" s="22"/>
      <c r="E13" s="22"/>
      <c r="F13" s="22"/>
      <c r="G13" s="22"/>
      <c r="H13" s="22"/>
      <c r="I13" s="22"/>
      <c r="J13" s="22"/>
    </row>
  </sheetData>
  <mergeCells count="1">
    <mergeCell ref="A13:J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"/>
    <col collapsed="false" customWidth="true" hidden="false" outlineLevel="0" max="3" min="3" style="1" width="13"/>
    <col collapsed="false" customWidth="true" hidden="false" outlineLevel="0" max="5" min="4" style="1" width="25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58"/>
  </cols>
  <sheetData>
    <row r="1" customFormat="false" ht="15" hidden="false" customHeight="true" outlineLevel="0" collapsed="false">
      <c r="A1" s="2" t="s">
        <v>433</v>
      </c>
    </row>
    <row r="2" customFormat="false" ht="15" hidden="false" customHeight="true" outlineLevel="0" collapsed="false">
      <c r="A2" s="3" t="s">
        <v>434</v>
      </c>
    </row>
    <row r="4" customFormat="false" ht="30" hidden="false" customHeight="true" outlineLevel="0" collapsed="false">
      <c r="A4" s="4" t="s">
        <v>381</v>
      </c>
      <c r="B4" s="4" t="s">
        <v>3</v>
      </c>
      <c r="C4" s="4" t="s">
        <v>6</v>
      </c>
      <c r="D4" s="4" t="s">
        <v>396</v>
      </c>
      <c r="E4" s="4" t="s">
        <v>435</v>
      </c>
      <c r="F4" s="4" t="s">
        <v>436</v>
      </c>
      <c r="G4" s="4" t="s">
        <v>437</v>
      </c>
      <c r="H4" s="4" t="s">
        <v>438</v>
      </c>
    </row>
    <row r="5" customFormat="false" ht="25.5" hidden="false" customHeight="true" outlineLevel="0" collapsed="false">
      <c r="A5" s="18" t="n">
        <v>1</v>
      </c>
      <c r="B5" s="20" t="n">
        <v>46290</v>
      </c>
      <c r="C5" s="18" t="s">
        <v>25</v>
      </c>
      <c r="D5" s="18" t="s">
        <v>439</v>
      </c>
      <c r="E5" s="18" t="s">
        <v>439</v>
      </c>
      <c r="F5" s="18" t="s">
        <v>155</v>
      </c>
      <c r="G5" s="18" t="s">
        <v>155</v>
      </c>
      <c r="H5" s="18" t="s">
        <v>440</v>
      </c>
    </row>
    <row r="6" customFormat="false" ht="25.5" hidden="false" customHeight="true" outlineLevel="0" collapsed="false">
      <c r="A6" s="18" t="n">
        <v>2</v>
      </c>
      <c r="B6" s="20" t="n">
        <v>46295</v>
      </c>
      <c r="C6" s="18" t="s">
        <v>35</v>
      </c>
      <c r="D6" s="18" t="s">
        <v>441</v>
      </c>
      <c r="E6" s="18" t="s">
        <v>442</v>
      </c>
      <c r="F6" s="18" t="s">
        <v>155</v>
      </c>
      <c r="G6" s="18" t="s">
        <v>155</v>
      </c>
      <c r="H6" s="18" t="s">
        <v>443</v>
      </c>
    </row>
    <row r="7" customFormat="false" ht="25.5" hidden="false" customHeight="true" outlineLevel="0" collapsed="false">
      <c r="A7" s="18" t="n">
        <v>3</v>
      </c>
      <c r="B7" s="20" t="n">
        <v>46297</v>
      </c>
      <c r="C7" s="18" t="s">
        <v>41</v>
      </c>
      <c r="D7" s="18" t="s">
        <v>444</v>
      </c>
      <c r="E7" s="18" t="s">
        <v>445</v>
      </c>
      <c r="F7" s="19" t="s">
        <v>446</v>
      </c>
      <c r="G7" s="19" t="s">
        <v>124</v>
      </c>
      <c r="H7" s="18" t="s">
        <v>447</v>
      </c>
    </row>
    <row r="8" customFormat="false" ht="25.5" hidden="false" customHeight="true" outlineLevel="0" collapsed="false">
      <c r="A8" s="18" t="n">
        <v>4</v>
      </c>
      <c r="B8" s="20" t="n">
        <v>46303</v>
      </c>
      <c r="C8" s="18" t="s">
        <v>45</v>
      </c>
      <c r="D8" s="18" t="s">
        <v>448</v>
      </c>
      <c r="E8" s="18" t="s">
        <v>449</v>
      </c>
      <c r="F8" s="18" t="s">
        <v>155</v>
      </c>
      <c r="G8" s="18" t="s">
        <v>155</v>
      </c>
      <c r="H8" s="18" t="s">
        <v>450</v>
      </c>
    </row>
    <row r="9" customFormat="false" ht="25.5" hidden="false" customHeight="true" outlineLevel="0" collapsed="false">
      <c r="A9" s="18" t="n">
        <v>5</v>
      </c>
      <c r="B9" s="20" t="n">
        <v>46304</v>
      </c>
      <c r="C9" s="18" t="s">
        <v>45</v>
      </c>
      <c r="D9" s="18" t="s">
        <v>451</v>
      </c>
      <c r="E9" s="18" t="s">
        <v>452</v>
      </c>
      <c r="F9" s="18" t="s">
        <v>155</v>
      </c>
      <c r="G9" s="18" t="s">
        <v>155</v>
      </c>
      <c r="H9" s="18" t="s">
        <v>453</v>
      </c>
    </row>
    <row r="10" customFormat="false" ht="25.5" hidden="false" customHeight="true" outlineLevel="0" collapsed="false">
      <c r="A10" s="18" t="n">
        <v>6</v>
      </c>
      <c r="B10" s="20" t="n">
        <v>46310</v>
      </c>
      <c r="C10" s="18" t="s">
        <v>55</v>
      </c>
      <c r="D10" s="18" t="s">
        <v>444</v>
      </c>
      <c r="E10" s="18" t="s">
        <v>454</v>
      </c>
      <c r="F10" s="19" t="s">
        <v>446</v>
      </c>
      <c r="G10" s="19" t="s">
        <v>124</v>
      </c>
      <c r="H10" s="18" t="s">
        <v>455</v>
      </c>
    </row>
    <row r="11" customFormat="false" ht="25.5" hidden="false" customHeight="true" outlineLevel="0" collapsed="false">
      <c r="A11" s="18" t="n">
        <v>7</v>
      </c>
      <c r="B11" s="20" t="n">
        <v>46316</v>
      </c>
      <c r="C11" s="18" t="s">
        <v>61</v>
      </c>
      <c r="D11" s="18" t="s">
        <v>456</v>
      </c>
      <c r="E11" s="18" t="s">
        <v>439</v>
      </c>
      <c r="F11" s="18" t="s">
        <v>155</v>
      </c>
      <c r="G11" s="18" t="s">
        <v>155</v>
      </c>
      <c r="H11" s="18" t="s">
        <v>457</v>
      </c>
    </row>
    <row r="12" customFormat="false" ht="25.5" hidden="false" customHeight="true" outlineLevel="0" collapsed="false">
      <c r="A12" s="18" t="n">
        <v>8</v>
      </c>
      <c r="B12" s="20" t="n">
        <v>46323</v>
      </c>
      <c r="C12" s="18" t="s">
        <v>65</v>
      </c>
      <c r="D12" s="18" t="s">
        <v>458</v>
      </c>
      <c r="E12" s="18" t="s">
        <v>444</v>
      </c>
      <c r="F12" s="19" t="s">
        <v>459</v>
      </c>
      <c r="G12" s="19" t="s">
        <v>124</v>
      </c>
      <c r="H12" s="18" t="s">
        <v>460</v>
      </c>
    </row>
    <row r="13" customFormat="false" ht="25.5" hidden="false" customHeight="true" outlineLevel="0" collapsed="false">
      <c r="A13" s="18" t="n">
        <v>9</v>
      </c>
      <c r="B13" s="20" t="n">
        <v>46330</v>
      </c>
      <c r="C13" s="18" t="s">
        <v>71</v>
      </c>
      <c r="D13" s="18" t="s">
        <v>461</v>
      </c>
      <c r="E13" s="18" t="s">
        <v>462</v>
      </c>
      <c r="F13" s="18" t="s">
        <v>463</v>
      </c>
      <c r="G13" s="18" t="s">
        <v>155</v>
      </c>
      <c r="H13" s="18" t="s">
        <v>464</v>
      </c>
    </row>
    <row r="14" customFormat="false" ht="25.5" hidden="false" customHeight="true" outlineLevel="0" collapsed="false">
      <c r="A14" s="18" t="n">
        <v>10</v>
      </c>
      <c r="B14" s="20" t="n">
        <v>46337</v>
      </c>
      <c r="C14" s="18" t="s">
        <v>75</v>
      </c>
      <c r="D14" s="18" t="s">
        <v>79</v>
      </c>
      <c r="E14" s="18" t="s">
        <v>79</v>
      </c>
      <c r="F14" s="18" t="s">
        <v>155</v>
      </c>
      <c r="G14" s="18" t="s">
        <v>155</v>
      </c>
      <c r="H14" s="18" t="s">
        <v>465</v>
      </c>
    </row>
    <row r="15" customFormat="false" ht="25.5" hidden="false" customHeight="true" outlineLevel="0" collapsed="false">
      <c r="A15" s="18" t="n">
        <v>11</v>
      </c>
      <c r="B15" s="20" t="n">
        <v>46338</v>
      </c>
      <c r="C15" s="18" t="s">
        <v>75</v>
      </c>
      <c r="D15" s="18" t="s">
        <v>79</v>
      </c>
      <c r="E15" s="18" t="s">
        <v>79</v>
      </c>
      <c r="F15" s="18" t="s">
        <v>155</v>
      </c>
      <c r="G15" s="18" t="s">
        <v>155</v>
      </c>
      <c r="H15" s="18" t="s">
        <v>466</v>
      </c>
    </row>
    <row r="16" customFormat="false" ht="25.5" hidden="false" customHeight="true" outlineLevel="0" collapsed="false">
      <c r="A16" s="18" t="n">
        <v>12</v>
      </c>
      <c r="B16" s="20" t="n">
        <v>46345</v>
      </c>
      <c r="C16" s="18" t="s">
        <v>81</v>
      </c>
      <c r="D16" s="18" t="s">
        <v>444</v>
      </c>
      <c r="E16" s="18" t="s">
        <v>444</v>
      </c>
      <c r="F16" s="19" t="s">
        <v>459</v>
      </c>
      <c r="G16" s="19" t="s">
        <v>124</v>
      </c>
      <c r="H16" s="18" t="s">
        <v>467</v>
      </c>
    </row>
    <row r="17" customFormat="false" ht="25.5" hidden="false" customHeight="true" outlineLevel="0" collapsed="false">
      <c r="A17" s="18" t="n">
        <v>13</v>
      </c>
      <c r="B17" s="20" t="n">
        <v>46351</v>
      </c>
      <c r="C17" s="18" t="s">
        <v>87</v>
      </c>
      <c r="D17" s="18" t="s">
        <v>439</v>
      </c>
      <c r="E17" s="18" t="s">
        <v>468</v>
      </c>
      <c r="F17" s="18" t="s">
        <v>155</v>
      </c>
      <c r="G17" s="18" t="s">
        <v>155</v>
      </c>
      <c r="H17" s="18" t="s">
        <v>469</v>
      </c>
    </row>
    <row r="18" customFormat="false" ht="25.5" hidden="false" customHeight="true" outlineLevel="0" collapsed="false">
      <c r="A18" s="18" t="n">
        <v>14</v>
      </c>
      <c r="B18" s="20" t="n">
        <v>46359</v>
      </c>
      <c r="C18" s="18" t="s">
        <v>45</v>
      </c>
      <c r="D18" s="18" t="s">
        <v>470</v>
      </c>
      <c r="E18" s="18" t="s">
        <v>444</v>
      </c>
      <c r="F18" s="19" t="s">
        <v>459</v>
      </c>
      <c r="G18" s="19" t="s">
        <v>124</v>
      </c>
      <c r="H18" s="18" t="s">
        <v>471</v>
      </c>
    </row>
    <row r="19" customFormat="false" ht="25.5" hidden="false" customHeight="true" outlineLevel="0" collapsed="false">
      <c r="A19" s="18" t="n">
        <v>15</v>
      </c>
      <c r="B19" s="20" t="n">
        <v>46366</v>
      </c>
      <c r="C19" s="18" t="s">
        <v>95</v>
      </c>
      <c r="D19" s="18" t="s">
        <v>424</v>
      </c>
      <c r="E19" s="18" t="s">
        <v>424</v>
      </c>
      <c r="F19" s="18" t="s">
        <v>472</v>
      </c>
      <c r="G19" s="18" t="s">
        <v>155</v>
      </c>
      <c r="H19" s="18" t="s">
        <v>473</v>
      </c>
    </row>
    <row r="20" customFormat="false" ht="25.5" hidden="false" customHeight="true" outlineLevel="0" collapsed="false">
      <c r="A20" s="18" t="n">
        <v>16</v>
      </c>
      <c r="B20" s="20" t="n">
        <v>46372</v>
      </c>
      <c r="C20" s="18" t="s">
        <v>25</v>
      </c>
      <c r="D20" s="18" t="s">
        <v>439</v>
      </c>
      <c r="E20" s="18" t="s">
        <v>439</v>
      </c>
      <c r="F20" s="18" t="s">
        <v>155</v>
      </c>
      <c r="G20" s="18" t="s">
        <v>155</v>
      </c>
      <c r="H20" s="18" t="s">
        <v>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2026-09-22T11:10:30Z</dcterms:created>
  <dc:creator>openpyxl</dc:creator>
  <dc:description/>
  <dc:language>en-US</dc:language>
  <cp:lastModifiedBy/>
  <dcterms:modified xsi:type="dcterms:W3CDTF">2026-09-22T11:52:44Z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